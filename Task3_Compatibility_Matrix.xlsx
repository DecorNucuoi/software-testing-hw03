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Ma trận" sheetId="2" state="visible" r:id="rId4"/>
    <sheet name="Độ phủ" sheetId="3" state="visible" r:id="rId5"/>
    <sheet name="Lỗi hiển thị" sheetId="4" state="visible" r:id="rId6"/>
  </sheets>
  <definedNames>
    <definedName function="false" hidden="true" localSheetId="3" name="_xlnm._FilterDatabase" vbProcedure="false">'Lỗi hiển thị'!$A$4:$J$29</definedName>
    <definedName function="false" hidden="true" localSheetId="1" name="_xlnm._FilterDatabase" vbProcedure="false">'Ma trận'!$A$1:$I$22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<sst xmlns="http://schemas.openxmlformats.org/spreadsheetml/2006/main" count="280" uniqueCount="122">
  <si>
    <t xml:space="preserve">Task 3 — Ma trận Cross-Browser / Cross-Platform</t>
  </si>
  <si>
    <t xml:space="preserve">Phạm Anh Hào – 23127362 · 6 ô × 3 màn hình = 18 ảnh chụp</t>
  </si>
  <si>
    <t xml:space="preserve">Cách điền</t>
  </si>
  <si>
    <t xml:space="preserve">Sheet "Ma trận": mỗi dòng là một ô cần chụp. Điền Kết quả, Mô tả lỗi và Tên file ảnh.</t>
  </si>
  <si>
    <t xml:space="preserve">Sheet "Độ phủ": tự kiểm tra ma trận có thoả 3 OS / 5 browser / 3 loại thiết bị cho từng màn hình.</t>
  </si>
  <si>
    <t xml:space="preserve">Sheet "Lỗi hiển thị": ghi chi tiết lỗi tìm được, để chuyển sang Google Form và Findings Log.</t>
  </si>
  <si>
    <t xml:space="preserve">Bookmarklet overlay email MSSV</t>
  </si>
  <si>
    <t xml:space="preserve">Tạo bookmark mới, dán nguyên đoạn dưới vào ô URL. Chạy trước khi chụp mỗi ảnh.</t>
  </si>
  <si>
    <t xml:space="preserve">javascript:(function(){var e='23127362@student.hcmus.edu.vn';var o=document.getElementById('hw03tag');if(o)o.remove();var d=document.createElement('div');d.id='hw03tag';d.style.cssText='position:fixed;top:0;left:0;right:0;z-index:2147483647;background:#0b1021;color:#7CFFB2;font:600 12px/1.45 monospace;padding:6px 8px;text-align:center;word-break:break-all;box-shadow:0 2px 8px rgba(0,0,0,.5)';d.textContent=e+' | '+location.host+' | '+new Date().toLocaleString('vi-VN')+' | '+window.innerWidth+'x'+window.innerHeight+' | '+navigator.userAgent;document.body.appendChild(d);})();</t>
  </si>
  <si>
    <t xml:space="preserve">Banner hiện ra gồm: email MSSV | host EMS | thời điểm | kích thước màn hình | user agent</t>
  </si>
  <si>
    <t xml:space="preserve">User agent tự khai báo browser và OS, nên ảnh tự chứng minh được chụp ở đâu.</t>
  </si>
  <si>
    <t xml:space="preserve">Đặt tên file ảnh</t>
  </si>
  <si>
    <t xml:space="preserve">C&lt;ô&gt;_&lt;màn hình&gt;_&lt;OS&gt;-&lt;browser&gt;-&lt;thiết bị&gt;.png     ví dụ: C1_A1_Windows-Chrome-Desktop.png</t>
  </si>
  <si>
    <t xml:space="preserve">Lưu vào screenshots/task3/ — BẮT BUỘC có ảnh cho MỌI ô, không chỉ ô Fail.</t>
  </si>
  <si>
    <t xml:space="preserve">Tiết kiệm phút cloud</t>
  </si>
  <si>
    <t xml:space="preserve">Một phiên BrowserStack → chụp cả 3 màn hình. Đừng mở phiên riêng cho từng ô.</t>
  </si>
  <si>
    <t xml:space="preserve">Hạn mức miễn phí chỉ 30 phút Live TỔNG CỘNG. Kiểm tra EMS còn sống TRƯỚC khi mở phiên.</t>
  </si>
  <si>
    <t xml:space="preserve">Chrome DevTools chế độ mobile KHÔNG tính là thiết bị — user agent sẽ tố cáo là Windows.</t>
  </si>
  <si>
    <t xml:space="preserve">Ô</t>
  </si>
  <si>
    <t xml:space="preserve">Màn hình</t>
  </si>
  <si>
    <t xml:space="preserve">Hệ điều hành</t>
  </si>
  <si>
    <t xml:space="preserve">Browser</t>
  </si>
  <si>
    <t xml:space="preserve">Loại thiết bị</t>
  </si>
  <si>
    <t xml:space="preserve">Nguồn</t>
  </si>
  <si>
    <t xml:space="preserve">Kết quả</t>
  </si>
  <si>
    <t xml:space="preserve">Mô tả lỗi hiển thị</t>
  </si>
  <si>
    <t xml:space="preserve">Tên file ảnh</t>
  </si>
  <si>
    <t xml:space="preserve">C1</t>
  </si>
  <si>
    <t xml:space="preserve">A1 – Danh sách Events</t>
  </si>
  <si>
    <t xml:space="preserve">Windows 11</t>
  </si>
  <si>
    <t xml:space="preserve">Chrome</t>
  </si>
  <si>
    <t xml:space="preserve">Desktop</t>
  </si>
  <si>
    <t xml:space="preserve">Máy thật</t>
  </si>
  <si>
    <t xml:space="preserve">Pass</t>
  </si>
  <si>
    <t xml:space="preserve">C1_A1_Windows-Chrome-Desktop.png.png</t>
  </si>
  <si>
    <t xml:space="preserve">C2</t>
  </si>
  <si>
    <t xml:space="preserve">Edge</t>
  </si>
  <si>
    <t xml:space="preserve">C2_A1_Windows-Edge-Desktop.png.png</t>
  </si>
  <si>
    <t xml:space="preserve">C3</t>
  </si>
  <si>
    <t xml:space="preserve">Firefox</t>
  </si>
  <si>
    <t xml:space="preserve">C3_A1_Windows-Firefox-Desktop.png.png</t>
  </si>
  <si>
    <t xml:space="preserve">C4</t>
  </si>
  <si>
    <t xml:space="preserve">iOS</t>
  </si>
  <si>
    <t xml:space="preserve">Safari</t>
  </si>
  <si>
    <t xml:space="preserve">Phone</t>
  </si>
  <si>
    <t xml:space="preserve">Fail</t>
  </si>
  <si>
    <t xml:space="preserve">Màn hình có layout không co giản theo màn hình, bị cố định độ rộng nên bản danh sách event bj co cụm lại không còn nhìn thấy được event nào, cột action che hết danh sách event, thanh pagination bị tràn ra ngoài</t>
  </si>
  <si>
    <t xml:space="preserve">C4_A1_iOS-Safari-Phone.png.png</t>
  </si>
  <si>
    <t xml:space="preserve">C5</t>
  </si>
  <si>
    <t xml:space="preserve">Android</t>
  </si>
  <si>
    <t xml:space="preserve">Màn hình lỗi hoàn toàn, không còn thấy được gì trên table nữa mọi thứ điều bị tràn ra ngoài</t>
  </si>
  <si>
    <t xml:space="preserve">C5_A1_Android-SamsungInternet-Phone.png.png</t>
  </si>
  <si>
    <t xml:space="preserve">C6</t>
  </si>
  <si>
    <t xml:space="preserve">iPadOS</t>
  </si>
  <si>
    <t xml:space="preserve">Tablet</t>
  </si>
  <si>
    <t xml:space="preserve">C6_A1_iPadOS-Safari-Tablet.png.png</t>
  </si>
  <si>
    <t xml:space="preserve">A2 – Form Add/Edit Event</t>
  </si>
  <si>
    <t xml:space="preserve">C1_A2_Windows-Chrome-Desktop.png.png</t>
  </si>
  <si>
    <t xml:space="preserve">C2_A2_Windows-Edge-Desktop.png.png</t>
  </si>
  <si>
    <t xml:space="preserve">C3_A2_Windows-Firefox-Desktop.png.png</t>
  </si>
  <si>
    <t xml:space="preserve">Màn hình có layout hổn loạn, ô thumbnail quá bé, ô banner lại quá bé và icon và title bên trong nó thì quá chật, ô attachment lại ở giữa thumbnail và banner, ô viết description thì quá bé, thanh format cho description bị gom lại trông quá hỗn loạn</t>
  </si>
  <si>
    <t xml:space="preserve">C4_A2_iOS-Safari-Phone_1.png.png, C4_A2_iOS-Safari-Phone_2.png.png, C4_A2_iOS-Safari-Phone_3.png.png, C4_A2_iOS-Safari-Phone_4.png.png, C4_A2_iOS-Safari-Phone_5.png.png, C4_A2_iOS-Safari-Phone_6.png.png</t>
  </si>
  <si>
    <t xml:space="preserve">C5_A2_Android-SamsungInternet-Phone.png.png</t>
  </si>
  <si>
    <t xml:space="preserve">C6_A2_iPadOS-Safari-Tablet_1.png.png, C6_A2_iPadOS-Safari-Tablet_2.png.png, C6_A2_iPadOS-Safari-Tablet_3.png.png, C6_A2_iPadOS-Safari-Tablet_4.png.png</t>
  </si>
  <si>
    <t xml:space="preserve">A4 – Participants &amp; Reviews</t>
  </si>
  <si>
    <t xml:space="preserve">C1_A4_Windows-Chrome-Desktop_1.png.png, C1_A4_Windows-Chrome-Desktop_2.png.png</t>
  </si>
  <si>
    <t xml:space="preserve">C2_A4_Windows-Edge-Desktop_1.png.png, C2_A4_Windows-Edge-Desktop_2.png.png</t>
  </si>
  <si>
    <t xml:space="preserve">C3_A4_Windows-Firefox-Desktop_1.png.png, C3_A4_Windows-Firefox-Desktop_2.png.png</t>
  </si>
  <si>
    <t xml:space="preserve">Layout quá hổn loạn, màn hình cứ to dần lên khi càn về các ô sau của thanh đề mục, các thanh hiển thị đều tràn ra ngoài, có một số button bị dính xát vào nhau, hầu hết các cột trong mọi table đều bị che bởi cột cuối của nó, nội dung bị che gần hết nên không hiển thị được gì</t>
  </si>
  <si>
    <t xml:space="preserve">C4_A4_iOS-Safari-Phone_1.png.png, C4_A4_iOS-Safari-Phone_2.png.png, C4_A4_iOS-Safari-Phone_3.png.png</t>
  </si>
  <si>
    <t xml:space="preserve">C5_A4_Android-SamsungInternet-Phone_1.png.png, C5_A4_Android-SamsungInternet-Phone_2.png.png</t>
  </si>
  <si>
    <t xml:space="preserve">C6_A4_iPadOS-Safari-Tablet_1.png.png, C6_A4_iPadOS-Safari-Tablet_2.png.png, C6_A4_iPadOS-Safari-Tablet_3.png.png</t>
  </si>
  <si>
    <t xml:space="preserve">Kiểm tra độ phủ — điều kiện bắt buộc của đề bài</t>
  </si>
  <si>
    <t xml:space="preserve">Mỗi OS, mỗi browser và mỗi loại thiết bị phải xuất hiện ≥1 lần cho TỪNG màn hình.</t>
  </si>
  <si>
    <t xml:space="preserve">Tiêu chí</t>
  </si>
  <si>
    <t xml:space="preserve">Giá trị</t>
  </si>
  <si>
    <t xml:space="preserve">A1</t>
  </si>
  <si>
    <t xml:space="preserve">A2</t>
  </si>
  <si>
    <t xml:space="preserve">A4</t>
  </si>
  <si>
    <t xml:space="preserve">Đạt?</t>
  </si>
  <si>
    <t xml:space="preserve">Samsung Internet</t>
  </si>
  <si>
    <t xml:space="preserve">Tổng kết</t>
  </si>
  <si>
    <t xml:space="preserve">Số ô đã chụp</t>
  </si>
  <si>
    <t xml:space="preserve">Số ô Pass</t>
  </si>
  <si>
    <t xml:space="preserve">Số ô Fail</t>
  </si>
  <si>
    <t xml:space="preserve">Toàn bộ tiêu chí độ phủ</t>
  </si>
  <si>
    <t xml:space="preserve">Lỗi hiển thị phát hiện qua kiểm thử tương thích</t>
  </si>
  <si>
    <t xml:space="preserve">Mỗi dòng phải có submission tương ứng trên Google Form và trong Bug &amp; Usability Findings Log (§7).</t>
  </si>
  <si>
    <t xml:space="preserve">ID</t>
  </si>
  <si>
    <t xml:space="preserve">Môi trường (OS / Browser / Thiết bị)</t>
  </si>
  <si>
    <t xml:space="preserve">Loại lỗi</t>
  </si>
  <si>
    <t xml:space="preserve">Mô tả</t>
  </si>
  <si>
    <t xml:space="preserve">Mức nghiêm trọng</t>
  </si>
  <si>
    <t xml:space="preserve">Đề xuất sửa</t>
  </si>
  <si>
    <t xml:space="preserve">Ảnh</t>
  </si>
  <si>
    <t xml:space="preserve">Đã gửi Form</t>
  </si>
  <si>
    <t xml:space="preserve">A1 - Danh sách Events</t>
  </si>
  <si>
    <t xml:space="preserve">iOS / Safari / Phone</t>
  </si>
  <si>
    <t xml:space="preserve">Vỡ layout</t>
  </si>
  <si>
    <t xml:space="preserve">Layout không co giãn theo bề rộng màn hình mà bị cố định độ rộng. Bảng danh sách sự kiện bị co cụm lại tới mức không đọc được sự kiện nào; cột HÀNH ĐỘNG đè lên và che khuất phần danh sách; thanh phân trang tràn ra ngoài khung nhìn.</t>
  </si>
  <si>
    <t xml:space="preserve">3 - Lớn</t>
  </si>
  <si>
    <t xml:space="preserve">Áp dụng breakpoint responsive cho bảng danh sách: chuyển sang bố cục thẻ (card) ở bề rộng phone, hoặc cho phép cuộn ngang có ghim cột tên sự kiện. Bỏ độ rộng cố định của container.</t>
  </si>
  <si>
    <t xml:space="preserve">Chưa</t>
  </si>
  <si>
    <t xml:space="preserve">Android / Chrome / Phone</t>
  </si>
  <si>
    <t xml:space="preserve">Tràn nội dung</t>
  </si>
  <si>
    <t xml:space="preserve">Màn hình hỏng hoàn toàn: toàn bộ nội dung bảng tràn ra ngoài khung nhìn, không còn quan sát được thông tin nào trong bảng danh sách sự kiện.</t>
  </si>
  <si>
    <t xml:space="preserve">4 - Thảm hoạ</t>
  </si>
  <si>
    <t xml:space="preserve">Như trên — cần bố cục responsive cho bảng ở bề rộng phone. Đây là mức nghiêm trọng nhất vì màn hình mất hoàn toàn khả năng sử dụng.</t>
  </si>
  <si>
    <t xml:space="preserve">A2 - Form Add/Edit Event</t>
  </si>
  <si>
    <t xml:space="preserve">Bố cục form hỗn loạn ở bề rộng phone: ô thumbnail và ô banner đều bị thu quá nhỏ, icon và tiêu đề bên trong bị chèn ép sát nhau; ô Attachments bị chèn nằm giữa thumbnail và banner sai thứ tự; vùng soạn Description quá nhỏ; thanh công cụ định dạng của rich-text bị dồn cụm lại.</t>
  </si>
  <si>
    <t xml:space="preserve">Xếp lại các khối upload theo chiều dọc ở bề rộng phone thay vì giữ lưới ngang; đặt chiều cao tối thiểu cho vùng rich-text; cho thanh công cụ định dạng xuống dòng hoặc thu vào menu tràn.</t>
  </si>
  <si>
    <t xml:space="preserve">C4_A2_iOS-Safari-Phone_1.png.png … _6.png.png</t>
  </si>
  <si>
    <t xml:space="preserve">Lặp lại đúng lỗi bố cục như trên iOS: thumbnail và banner quá nhỏ, icon và tiêu đề chèn ép, ô Attachments nằm sai vị trí giữa hai khối ảnh, vùng Description quá nhỏ, thanh định dạng rich-text bị dồn cụm.</t>
  </si>
  <si>
    <t xml:space="preserve">Cùng hướng sửa với C4/A2. Lỗi xuất hiện trên cả hai hệ điều hành di động nên nguyên nhân nằm ở CSS bố cục dùng chung, không phải do trình duyệt cụ thể.</t>
  </si>
  <si>
    <t xml:space="preserve">A4 - Participants &amp; Reviews</t>
  </si>
  <si>
    <t xml:space="preserve">Chồng lấp</t>
  </si>
  <si>
    <t xml:space="preserve">Bố cục hỗn loạn: chiều rộng các ô trên thanh đề mục tăng dần về phía sau; các thanh hiển thị đều tràn ra ngoài khung nhìn; một số nút bị dính sát vào nhau khó bấm chính xác; hầu hết các cột trong mọi bảng đều bị cột cuối che khuất, nội dung bị che gần hết nên không hiển thị được gì.</t>
  </si>
  <si>
    <t xml:space="preserve">Đặt lại chiều rộng cột theo tỉ lệ thay vì để tự giãn; tách các nút hành động đủ khoảng cách chạm tối thiểu; chuyển bảng sang bố cục thẻ ở bề rộng phone.</t>
  </si>
  <si>
    <t xml:space="preserve">C4_A4_iOS-Safari-Phone_1.png.png … _3.png.png</t>
  </si>
  <si>
    <t xml:space="preserve">Màn hình hỏng hoàn toàn: mọi thành phần trong bảng tràn ra ngoài khung nhìn, không còn quan sát được nội dung nào.</t>
  </si>
  <si>
    <t xml:space="preserve">Như C5/A1 — cần bố cục responsive cho bảng. Màn hình mất hoàn toàn khả năng sử dụng trên điện thoại Android.</t>
  </si>
  <si>
    <t xml:space="preserve">C5_A4_Android-SamsungInternet-Phone_1.png.png, _2.png.png</t>
  </si>
</sst>
</file>

<file path=xl/styles.xml><?xml version="1.0" encoding="utf-8"?>
<styleSheet xmlns="http://schemas.openxmlformats.org/spreadsheetml/2006/main">
  <numFmts count="1">
    <numFmt numFmtId="164" formatCode="General"/>
  </numFmts>
  <fonts count="16">
    <font>
      <sz val="11"/>
      <color theme="1"/>
      <name val="Calibri"/>
      <family val="0"/>
      <charset val="1"/>
    </font>
    <font>
      <sz val="10"/>
      <name val="Arial"/>
      <family val="0"/>
    </font>
    <font>
      <sz val="10"/>
      <name val="Arial"/>
      <family val="0"/>
    </font>
    <font>
      <sz val="10"/>
      <name val="Arial"/>
      <family val="0"/>
    </font>
    <font>
      <b val="true"/>
      <sz val="16"/>
      <color rgb="FF1F3864"/>
      <name val="Arial"/>
      <family val="0"/>
      <charset val="1"/>
    </font>
    <font>
      <sz val="11"/>
      <color rgb="FF595959"/>
      <name val="Arial"/>
      <family val="0"/>
      <charset val="1"/>
    </font>
    <font>
      <b val="true"/>
      <sz val="12"/>
      <color rgb="FF1F3864"/>
      <name val="Arial"/>
      <family val="0"/>
      <charset val="1"/>
    </font>
    <font>
      <sz val="10"/>
      <color theme="1"/>
      <name val="Arial"/>
      <family val="0"/>
      <charset val="1"/>
    </font>
    <font>
      <sz val="8"/>
      <color rgb="FF1F3864"/>
      <name val="Consolas"/>
      <family val="0"/>
      <charset val="1"/>
    </font>
    <font>
      <sz val="10"/>
      <color rgb="FFC00000"/>
      <name val="Arial"/>
      <family val="0"/>
      <charset val="1"/>
    </font>
    <font>
      <b val="true"/>
      <sz val="10"/>
      <color rgb="FFFFFFFF"/>
      <name val="Arial"/>
      <family val="0"/>
      <charset val="1"/>
    </font>
    <font>
      <sz val="10"/>
      <name val="Arial"/>
      <family val="0"/>
      <charset val="1"/>
    </font>
    <font>
      <b val="true"/>
      <sz val="14"/>
      <color rgb="FF1F3864"/>
      <name val="Arial"/>
      <family val="0"/>
      <charset val="1"/>
    </font>
    <font>
      <sz val="10"/>
      <color rgb="FF595959"/>
      <name val="Arial"/>
      <family val="0"/>
      <charset val="1"/>
    </font>
    <font>
      <b val="true"/>
      <sz val="10"/>
      <color theme="1"/>
      <name val="Arial"/>
      <family val="0"/>
      <charset val="1"/>
    </font>
    <font>
      <b val="true"/>
      <sz val="10"/>
      <color rgb="FFC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2F3"/>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0" fillId="4"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fgColor rgb="FFD9E2F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50"/>
    <col collapsed="false" customWidth="true" hidden="false" outlineLevel="0" max="26" min="2" style="0" width="8.71"/>
  </cols>
  <sheetData>
    <row r="1" customFormat="false" ht="14.25" hidden="false" customHeight="true" outlineLevel="0" collapsed="false">
      <c r="A1" s="1" t="s">
        <v>0</v>
      </c>
    </row>
    <row r="2" customFormat="false" ht="14.25" hidden="false" customHeight="true" outlineLevel="0" collapsed="false">
      <c r="A2" s="2" t="s">
        <v>1</v>
      </c>
    </row>
    <row r="3" customFormat="false" ht="14.25" hidden="false" customHeight="true" outlineLevel="0" collapsed="false"/>
    <row r="4" customFormat="false" ht="14.25" hidden="false" customHeight="true" outlineLevel="0" collapsed="false">
      <c r="A4" s="3" t="s">
        <v>2</v>
      </c>
    </row>
    <row r="5" customFormat="false" ht="14.25" hidden="false" customHeight="true" outlineLevel="0" collapsed="false">
      <c r="A5" s="4" t="s">
        <v>3</v>
      </c>
    </row>
    <row r="6" customFormat="false" ht="14.25" hidden="false" customHeight="true" outlineLevel="0" collapsed="false">
      <c r="A6" s="4" t="s">
        <v>4</v>
      </c>
    </row>
    <row r="7" customFormat="false" ht="14.25" hidden="false" customHeight="true" outlineLevel="0" collapsed="false">
      <c r="A7" s="4" t="s">
        <v>5</v>
      </c>
    </row>
    <row r="8" customFormat="false" ht="14.25" hidden="false" customHeight="true" outlineLevel="0" collapsed="false"/>
    <row r="9" customFormat="false" ht="14.25" hidden="false" customHeight="true" outlineLevel="0" collapsed="false">
      <c r="A9" s="3" t="s">
        <v>6</v>
      </c>
    </row>
    <row r="10" customFormat="false" ht="14.25" hidden="false" customHeight="true" outlineLevel="0" collapsed="false">
      <c r="A10" s="4" t="s">
        <v>7</v>
      </c>
    </row>
    <row r="11" customFormat="false" ht="129.75" hidden="false" customHeight="true" outlineLevel="0" collapsed="false">
      <c r="A11" s="5" t="s">
        <v>8</v>
      </c>
    </row>
    <row r="12" customFormat="false" ht="14.25" hidden="false" customHeight="true" outlineLevel="0" collapsed="false"/>
    <row r="13" customFormat="false" ht="14.25" hidden="false" customHeight="true" outlineLevel="0" collapsed="false">
      <c r="A13" s="4" t="s">
        <v>9</v>
      </c>
    </row>
    <row r="14" customFormat="false" ht="14.25" hidden="false" customHeight="true" outlineLevel="0" collapsed="false">
      <c r="A14" s="4" t="s">
        <v>10</v>
      </c>
    </row>
    <row r="15" customFormat="false" ht="14.25" hidden="false" customHeight="true" outlineLevel="0" collapsed="false"/>
    <row r="16" customFormat="false" ht="14.25" hidden="false" customHeight="true" outlineLevel="0" collapsed="false">
      <c r="A16" s="3" t="s">
        <v>11</v>
      </c>
    </row>
    <row r="17" customFormat="false" ht="14.25" hidden="false" customHeight="true" outlineLevel="0" collapsed="false">
      <c r="A17" s="4" t="s">
        <v>12</v>
      </c>
    </row>
    <row r="18" customFormat="false" ht="14.25" hidden="false" customHeight="true" outlineLevel="0" collapsed="false">
      <c r="A18" s="4" t="s">
        <v>13</v>
      </c>
    </row>
    <row r="19" customFormat="false" ht="14.25" hidden="false" customHeight="true" outlineLevel="0" collapsed="false"/>
    <row r="20" customFormat="false" ht="14.25" hidden="false" customHeight="true" outlineLevel="0" collapsed="false">
      <c r="A20" s="3" t="s">
        <v>14</v>
      </c>
    </row>
    <row r="21" customFormat="false" ht="14.25" hidden="false" customHeight="true" outlineLevel="0" collapsed="false">
      <c r="A21" s="4" t="s">
        <v>15</v>
      </c>
    </row>
    <row r="22" customFormat="false" ht="14.25" hidden="false" customHeight="true" outlineLevel="0" collapsed="false">
      <c r="A22" s="6" t="s">
        <v>16</v>
      </c>
    </row>
    <row r="23" customFormat="false" ht="14.25" hidden="false" customHeight="true" outlineLevel="0" collapsed="false">
      <c r="A23" s="6" t="s">
        <v>17</v>
      </c>
    </row>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customHeight="true"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16"/>
    <col collapsed="false" customWidth="true" hidden="false" outlineLevel="0" max="4" min="4" style="0" width="20"/>
    <col collapsed="false" customWidth="true" hidden="false" outlineLevel="0" max="5" min="5" style="0" width="15"/>
    <col collapsed="false" customWidth="true" hidden="false" outlineLevel="0" max="6" min="6" style="0" width="16"/>
    <col collapsed="false" customWidth="true" hidden="false" outlineLevel="0" max="7" min="7" style="0" width="11"/>
    <col collapsed="false" customWidth="true" hidden="false" outlineLevel="0" max="8" min="8" style="0" width="50"/>
    <col collapsed="false" customWidth="true" hidden="false" outlineLevel="0" max="9" min="9" style="0" width="60"/>
    <col collapsed="false" customWidth="true" hidden="false" outlineLevel="0" max="26" min="10" style="0" width="8.71"/>
  </cols>
  <sheetData>
    <row r="1" customFormat="false" ht="14.25" hidden="false" customHeight="true" outlineLevel="0" collapsed="false">
      <c r="A1" s="7" t="s">
        <v>18</v>
      </c>
      <c r="B1" s="7" t="s">
        <v>19</v>
      </c>
      <c r="C1" s="7" t="s">
        <v>20</v>
      </c>
      <c r="D1" s="7" t="s">
        <v>21</v>
      </c>
      <c r="E1" s="7" t="s">
        <v>22</v>
      </c>
      <c r="F1" s="7" t="s">
        <v>23</v>
      </c>
      <c r="G1" s="7" t="s">
        <v>24</v>
      </c>
      <c r="H1" s="7" t="s">
        <v>25</v>
      </c>
      <c r="I1" s="7" t="s">
        <v>26</v>
      </c>
    </row>
    <row r="2" customFormat="false" ht="27.75" hidden="false" customHeight="true" outlineLevel="0" collapsed="false">
      <c r="A2" s="8" t="s">
        <v>27</v>
      </c>
      <c r="B2" s="9" t="s">
        <v>28</v>
      </c>
      <c r="C2" s="8" t="s">
        <v>29</v>
      </c>
      <c r="D2" s="8" t="s">
        <v>30</v>
      </c>
      <c r="E2" s="8" t="s">
        <v>31</v>
      </c>
      <c r="F2" s="8" t="s">
        <v>32</v>
      </c>
      <c r="G2" s="10" t="s">
        <v>33</v>
      </c>
      <c r="H2" s="11"/>
      <c r="I2" s="12" t="s">
        <v>34</v>
      </c>
    </row>
    <row r="3" customFormat="false" ht="27.75" hidden="false" customHeight="true" outlineLevel="0" collapsed="false">
      <c r="A3" s="8" t="s">
        <v>35</v>
      </c>
      <c r="B3" s="9" t="s">
        <v>28</v>
      </c>
      <c r="C3" s="8" t="s">
        <v>29</v>
      </c>
      <c r="D3" s="8" t="s">
        <v>36</v>
      </c>
      <c r="E3" s="8" t="s">
        <v>31</v>
      </c>
      <c r="F3" s="8" t="s">
        <v>32</v>
      </c>
      <c r="G3" s="10" t="s">
        <v>33</v>
      </c>
      <c r="H3" s="11"/>
      <c r="I3" s="12" t="s">
        <v>37</v>
      </c>
    </row>
    <row r="4" customFormat="false" ht="27.75" hidden="false" customHeight="true" outlineLevel="0" collapsed="false">
      <c r="A4" s="8" t="s">
        <v>38</v>
      </c>
      <c r="B4" s="9" t="s">
        <v>28</v>
      </c>
      <c r="C4" s="8" t="s">
        <v>29</v>
      </c>
      <c r="D4" s="8" t="s">
        <v>39</v>
      </c>
      <c r="E4" s="8" t="s">
        <v>31</v>
      </c>
      <c r="F4" s="8" t="s">
        <v>32</v>
      </c>
      <c r="G4" s="10" t="s">
        <v>33</v>
      </c>
      <c r="H4" s="11"/>
      <c r="I4" s="12" t="s">
        <v>40</v>
      </c>
    </row>
    <row r="5" customFormat="false" ht="27.75" hidden="false" customHeight="true" outlineLevel="0" collapsed="false">
      <c r="A5" s="8" t="s">
        <v>41</v>
      </c>
      <c r="B5" s="9" t="s">
        <v>28</v>
      </c>
      <c r="C5" s="8" t="s">
        <v>42</v>
      </c>
      <c r="D5" s="8" t="s">
        <v>43</v>
      </c>
      <c r="E5" s="8" t="s">
        <v>44</v>
      </c>
      <c r="F5" s="8" t="s">
        <v>32</v>
      </c>
      <c r="G5" s="10" t="s">
        <v>45</v>
      </c>
      <c r="H5" s="11" t="s">
        <v>46</v>
      </c>
      <c r="I5" s="12" t="s">
        <v>47</v>
      </c>
    </row>
    <row r="6" customFormat="false" ht="27.75" hidden="false" customHeight="true" outlineLevel="0" collapsed="false">
      <c r="A6" s="8" t="s">
        <v>48</v>
      </c>
      <c r="B6" s="9" t="s">
        <v>28</v>
      </c>
      <c r="C6" s="8" t="s">
        <v>49</v>
      </c>
      <c r="D6" s="8" t="s">
        <v>30</v>
      </c>
      <c r="E6" s="8" t="s">
        <v>44</v>
      </c>
      <c r="F6" s="8" t="s">
        <v>32</v>
      </c>
      <c r="G6" s="10" t="s">
        <v>45</v>
      </c>
      <c r="H6" s="11" t="s">
        <v>50</v>
      </c>
      <c r="I6" s="12" t="s">
        <v>51</v>
      </c>
    </row>
    <row r="7" customFormat="false" ht="27.75" hidden="false" customHeight="true" outlineLevel="0" collapsed="false">
      <c r="A7" s="8" t="s">
        <v>52</v>
      </c>
      <c r="B7" s="9" t="s">
        <v>28</v>
      </c>
      <c r="C7" s="8" t="s">
        <v>53</v>
      </c>
      <c r="D7" s="8" t="s">
        <v>43</v>
      </c>
      <c r="E7" s="8" t="s">
        <v>54</v>
      </c>
      <c r="F7" s="8" t="s">
        <v>32</v>
      </c>
      <c r="G7" s="10" t="s">
        <v>33</v>
      </c>
      <c r="H7" s="11"/>
      <c r="I7" s="12" t="s">
        <v>55</v>
      </c>
    </row>
    <row r="8" customFormat="false" ht="6" hidden="false" customHeight="true" outlineLevel="0" collapsed="false">
      <c r="A8" s="13"/>
      <c r="B8" s="13"/>
      <c r="C8" s="13"/>
      <c r="D8" s="13"/>
      <c r="E8" s="13"/>
      <c r="F8" s="13"/>
      <c r="G8" s="13"/>
      <c r="H8" s="13"/>
      <c r="I8" s="13"/>
    </row>
    <row r="9" customFormat="false" ht="27.75" hidden="false" customHeight="true" outlineLevel="0" collapsed="false">
      <c r="A9" s="8" t="s">
        <v>27</v>
      </c>
      <c r="B9" s="9" t="s">
        <v>56</v>
      </c>
      <c r="C9" s="8" t="s">
        <v>29</v>
      </c>
      <c r="D9" s="8" t="s">
        <v>30</v>
      </c>
      <c r="E9" s="8" t="s">
        <v>31</v>
      </c>
      <c r="F9" s="8" t="s">
        <v>32</v>
      </c>
      <c r="G9" s="10" t="s">
        <v>33</v>
      </c>
      <c r="H9" s="11"/>
      <c r="I9" s="12" t="s">
        <v>57</v>
      </c>
    </row>
    <row r="10" customFormat="false" ht="27.75" hidden="false" customHeight="true" outlineLevel="0" collapsed="false">
      <c r="A10" s="8" t="s">
        <v>35</v>
      </c>
      <c r="B10" s="9" t="s">
        <v>56</v>
      </c>
      <c r="C10" s="8" t="s">
        <v>29</v>
      </c>
      <c r="D10" s="8" t="s">
        <v>36</v>
      </c>
      <c r="E10" s="8" t="s">
        <v>31</v>
      </c>
      <c r="F10" s="8" t="s">
        <v>32</v>
      </c>
      <c r="G10" s="10" t="s">
        <v>33</v>
      </c>
      <c r="H10" s="11"/>
      <c r="I10" s="12" t="s">
        <v>58</v>
      </c>
    </row>
    <row r="11" customFormat="false" ht="27.75" hidden="false" customHeight="true" outlineLevel="0" collapsed="false">
      <c r="A11" s="8" t="s">
        <v>38</v>
      </c>
      <c r="B11" s="9" t="s">
        <v>56</v>
      </c>
      <c r="C11" s="8" t="s">
        <v>29</v>
      </c>
      <c r="D11" s="8" t="s">
        <v>39</v>
      </c>
      <c r="E11" s="8" t="s">
        <v>31</v>
      </c>
      <c r="F11" s="8" t="s">
        <v>32</v>
      </c>
      <c r="G11" s="10" t="s">
        <v>33</v>
      </c>
      <c r="H11" s="11"/>
      <c r="I11" s="12" t="s">
        <v>59</v>
      </c>
    </row>
    <row r="12" customFormat="false" ht="42" hidden="false" customHeight="true" outlineLevel="0" collapsed="false">
      <c r="A12" s="8" t="s">
        <v>41</v>
      </c>
      <c r="B12" s="9" t="s">
        <v>56</v>
      </c>
      <c r="C12" s="8" t="s">
        <v>42</v>
      </c>
      <c r="D12" s="8" t="s">
        <v>43</v>
      </c>
      <c r="E12" s="8" t="s">
        <v>44</v>
      </c>
      <c r="F12" s="8" t="s">
        <v>32</v>
      </c>
      <c r="G12" s="10" t="s">
        <v>45</v>
      </c>
      <c r="H12" s="11" t="s">
        <v>60</v>
      </c>
      <c r="I12" s="12" t="s">
        <v>61</v>
      </c>
    </row>
    <row r="13" customFormat="false" ht="27.75" hidden="false" customHeight="true" outlineLevel="0" collapsed="false">
      <c r="A13" s="8" t="s">
        <v>48</v>
      </c>
      <c r="B13" s="9" t="s">
        <v>56</v>
      </c>
      <c r="C13" s="8" t="s">
        <v>49</v>
      </c>
      <c r="D13" s="8" t="s">
        <v>30</v>
      </c>
      <c r="E13" s="8" t="s">
        <v>44</v>
      </c>
      <c r="F13" s="8" t="s">
        <v>32</v>
      </c>
      <c r="G13" s="10" t="s">
        <v>45</v>
      </c>
      <c r="H13" s="11" t="s">
        <v>60</v>
      </c>
      <c r="I13" s="12" t="s">
        <v>62</v>
      </c>
    </row>
    <row r="14" customFormat="false" ht="27.75" hidden="false" customHeight="true" outlineLevel="0" collapsed="false">
      <c r="A14" s="8" t="s">
        <v>52</v>
      </c>
      <c r="B14" s="9" t="s">
        <v>56</v>
      </c>
      <c r="C14" s="8" t="s">
        <v>53</v>
      </c>
      <c r="D14" s="8" t="s">
        <v>43</v>
      </c>
      <c r="E14" s="8" t="s">
        <v>54</v>
      </c>
      <c r="F14" s="8" t="s">
        <v>32</v>
      </c>
      <c r="G14" s="10" t="s">
        <v>33</v>
      </c>
      <c r="H14" s="11"/>
      <c r="I14" s="12" t="s">
        <v>63</v>
      </c>
    </row>
    <row r="15" customFormat="false" ht="6" hidden="false" customHeight="true" outlineLevel="0" collapsed="false">
      <c r="A15" s="13"/>
      <c r="B15" s="13"/>
      <c r="C15" s="13"/>
      <c r="D15" s="13"/>
      <c r="E15" s="13"/>
      <c r="F15" s="13"/>
      <c r="G15" s="13"/>
      <c r="H15" s="13"/>
      <c r="I15" s="13"/>
    </row>
    <row r="16" customFormat="false" ht="27.75" hidden="false" customHeight="true" outlineLevel="0" collapsed="false">
      <c r="A16" s="8" t="s">
        <v>27</v>
      </c>
      <c r="B16" s="9" t="s">
        <v>64</v>
      </c>
      <c r="C16" s="8" t="s">
        <v>29</v>
      </c>
      <c r="D16" s="8" t="s">
        <v>30</v>
      </c>
      <c r="E16" s="8" t="s">
        <v>31</v>
      </c>
      <c r="F16" s="8" t="s">
        <v>32</v>
      </c>
      <c r="G16" s="10" t="s">
        <v>33</v>
      </c>
      <c r="H16" s="11"/>
      <c r="I16" s="12" t="s">
        <v>65</v>
      </c>
    </row>
    <row r="17" customFormat="false" ht="27.75" hidden="false" customHeight="true" outlineLevel="0" collapsed="false">
      <c r="A17" s="8" t="s">
        <v>35</v>
      </c>
      <c r="B17" s="9" t="s">
        <v>64</v>
      </c>
      <c r="C17" s="8" t="s">
        <v>29</v>
      </c>
      <c r="D17" s="8" t="s">
        <v>36</v>
      </c>
      <c r="E17" s="8" t="s">
        <v>31</v>
      </c>
      <c r="F17" s="8" t="s">
        <v>32</v>
      </c>
      <c r="G17" s="10" t="s">
        <v>33</v>
      </c>
      <c r="H17" s="11"/>
      <c r="I17" s="12" t="s">
        <v>66</v>
      </c>
    </row>
    <row r="18" customFormat="false" ht="27.75" hidden="false" customHeight="true" outlineLevel="0" collapsed="false">
      <c r="A18" s="8" t="s">
        <v>38</v>
      </c>
      <c r="B18" s="9" t="s">
        <v>64</v>
      </c>
      <c r="C18" s="8" t="s">
        <v>29</v>
      </c>
      <c r="D18" s="8" t="s">
        <v>39</v>
      </c>
      <c r="E18" s="8" t="s">
        <v>31</v>
      </c>
      <c r="F18" s="8" t="s">
        <v>32</v>
      </c>
      <c r="G18" s="10" t="s">
        <v>33</v>
      </c>
      <c r="H18" s="11"/>
      <c r="I18" s="12" t="s">
        <v>67</v>
      </c>
    </row>
    <row r="19" customFormat="false" ht="27.75" hidden="false" customHeight="true" outlineLevel="0" collapsed="false">
      <c r="A19" s="8" t="s">
        <v>41</v>
      </c>
      <c r="B19" s="9" t="s">
        <v>64</v>
      </c>
      <c r="C19" s="8" t="s">
        <v>42</v>
      </c>
      <c r="D19" s="8" t="s">
        <v>43</v>
      </c>
      <c r="E19" s="8" t="s">
        <v>44</v>
      </c>
      <c r="F19" s="8" t="s">
        <v>32</v>
      </c>
      <c r="G19" s="10" t="s">
        <v>45</v>
      </c>
      <c r="H19" s="11" t="s">
        <v>68</v>
      </c>
      <c r="I19" s="12" t="s">
        <v>69</v>
      </c>
    </row>
    <row r="20" customFormat="false" ht="27.75" hidden="false" customHeight="true" outlineLevel="0" collapsed="false">
      <c r="A20" s="8" t="s">
        <v>48</v>
      </c>
      <c r="B20" s="9" t="s">
        <v>64</v>
      </c>
      <c r="C20" s="8" t="s">
        <v>49</v>
      </c>
      <c r="D20" s="8" t="s">
        <v>30</v>
      </c>
      <c r="E20" s="8" t="s">
        <v>44</v>
      </c>
      <c r="F20" s="8" t="s">
        <v>32</v>
      </c>
      <c r="G20" s="10" t="s">
        <v>45</v>
      </c>
      <c r="H20" s="11" t="s">
        <v>50</v>
      </c>
      <c r="I20" s="12" t="s">
        <v>70</v>
      </c>
    </row>
    <row r="21" customFormat="false" ht="27.75" hidden="false" customHeight="true" outlineLevel="0" collapsed="false">
      <c r="A21" s="8" t="s">
        <v>52</v>
      </c>
      <c r="B21" s="9" t="s">
        <v>64</v>
      </c>
      <c r="C21" s="8" t="s">
        <v>53</v>
      </c>
      <c r="D21" s="8" t="s">
        <v>43</v>
      </c>
      <c r="E21" s="8" t="s">
        <v>54</v>
      </c>
      <c r="F21" s="8" t="s">
        <v>32</v>
      </c>
      <c r="G21" s="10" t="s">
        <v>33</v>
      </c>
      <c r="H21" s="11"/>
      <c r="I21" s="12" t="s">
        <v>71</v>
      </c>
    </row>
    <row r="22" customFormat="false" ht="6" hidden="false" customHeight="true" outlineLevel="0" collapsed="false">
      <c r="A22" s="13"/>
      <c r="B22" s="13"/>
      <c r="C22" s="13"/>
      <c r="D22" s="13"/>
      <c r="E22" s="13"/>
      <c r="F22" s="13"/>
      <c r="G22" s="13"/>
      <c r="H22" s="13"/>
      <c r="I22" s="13"/>
    </row>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autoFilter ref="A1:I22"/>
  <conditionalFormatting sqref="G2:G22">
    <cfRule type="cellIs" priority="2" operator="equal" aboveAverage="0" equalAverage="0" bottom="0" percent="0" rank="0" text="" dxfId="10">
      <formula>"Pass"</formula>
    </cfRule>
    <cfRule type="cellIs" priority="3" operator="equal" aboveAverage="0" equalAverage="0" bottom="0" percent="0" rank="0" text="" dxfId="11">
      <formula>"Fail"</formula>
    </cfRule>
  </conditionalFormatting>
  <dataValidations count="1">
    <dataValidation allowBlank="true" errorStyle="stop" operator="between" showDropDown="false" showErrorMessage="false" showInputMessage="false" sqref="G2:G22"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14"/>
    <col collapsed="false" customWidth="true" hidden="false" outlineLevel="0" max="5" min="4" style="0" width="12"/>
    <col collapsed="false" customWidth="true" hidden="false" outlineLevel="0" max="6" min="6" style="0" width="18"/>
    <col collapsed="false" customWidth="true" hidden="false" outlineLevel="0" max="26" min="7" style="0" width="8.71"/>
  </cols>
  <sheetData>
    <row r="1" customFormat="false" ht="14.25" hidden="false" customHeight="true" outlineLevel="0" collapsed="false">
      <c r="A1" s="14" t="s">
        <v>72</v>
      </c>
    </row>
    <row r="2" customFormat="false" ht="14.25" hidden="false" customHeight="true" outlineLevel="0" collapsed="false">
      <c r="A2" s="15" t="s">
        <v>73</v>
      </c>
    </row>
    <row r="3" customFormat="false" ht="14.25" hidden="false" customHeight="true" outlineLevel="0" collapsed="false"/>
    <row r="4" customFormat="false" ht="14.25" hidden="false" customHeight="true" outlineLevel="0" collapsed="false">
      <c r="A4" s="7" t="s">
        <v>74</v>
      </c>
      <c r="B4" s="7" t="s">
        <v>75</v>
      </c>
      <c r="C4" s="7" t="s">
        <v>76</v>
      </c>
      <c r="D4" s="7" t="s">
        <v>77</v>
      </c>
      <c r="E4" s="7" t="s">
        <v>78</v>
      </c>
      <c r="F4" s="7" t="s">
        <v>79</v>
      </c>
    </row>
    <row r="5" customFormat="false" ht="14.25" hidden="false" customHeight="true" outlineLevel="0" collapsed="false">
      <c r="A5" s="16" t="s">
        <v>20</v>
      </c>
      <c r="B5" s="16" t="s">
        <v>29</v>
      </c>
      <c r="C5" s="8" t="n">
        <f aca="false">COUNTIFS('Ma trận'!$C$2:$C$7,$B5,'Ma trận'!$G$2:$G$7,"&lt;&gt;")</f>
        <v>3</v>
      </c>
      <c r="D5" s="8" t="n">
        <f aca="false">COUNTIFS('Ma trận'!$C$9:$C$14,$B5,'Ma trận'!$G$9:$G$14,"&lt;&gt;")</f>
        <v>3</v>
      </c>
      <c r="E5" s="8" t="n">
        <f aca="false">COUNTIFS('Ma trận'!$C$16:$C$21,$B5,'Ma trận'!$G$16:$G$21,"&lt;&gt;")</f>
        <v>3</v>
      </c>
      <c r="F5" s="8" t="str">
        <f aca="false">IF(AND(C5&gt;0,D5&gt;0,E5&gt;0),"ĐẠT","THIẾU")</f>
        <v>ĐẠT</v>
      </c>
    </row>
    <row r="6" customFormat="false" ht="14.25" hidden="false" customHeight="true" outlineLevel="0" collapsed="false">
      <c r="A6" s="16" t="s">
        <v>20</v>
      </c>
      <c r="B6" s="16" t="s">
        <v>42</v>
      </c>
      <c r="C6" s="8" t="n">
        <f aca="false">COUNTIFS('Ma trận'!$C$2:$C$7,$B6,'Ma trận'!$G$2:$G$7,"&lt;&gt;")</f>
        <v>1</v>
      </c>
      <c r="D6" s="8" t="n">
        <f aca="false">COUNTIFS('Ma trận'!$C$9:$C$14,$B6,'Ma trận'!$G$9:$G$14,"&lt;&gt;")</f>
        <v>1</v>
      </c>
      <c r="E6" s="8" t="n">
        <f aca="false">COUNTIFS('Ma trận'!$C$16:$C$21,$B6,'Ma trận'!$G$16:$G$21,"&lt;&gt;")</f>
        <v>1</v>
      </c>
      <c r="F6" s="8" t="str">
        <f aca="false">IF(AND(C6&gt;0,D6&gt;0,E6&gt;0),"ĐẠT","THIẾU")</f>
        <v>ĐẠT</v>
      </c>
    </row>
    <row r="7" customFormat="false" ht="14.25" hidden="false" customHeight="true" outlineLevel="0" collapsed="false">
      <c r="A7" s="16" t="s">
        <v>20</v>
      </c>
      <c r="B7" s="16" t="s">
        <v>49</v>
      </c>
      <c r="C7" s="8" t="n">
        <f aca="false">COUNTIFS('Ma trận'!$C$2:$C$7,$B7,'Ma trận'!$G$2:$G$7,"&lt;&gt;")</f>
        <v>1</v>
      </c>
      <c r="D7" s="8" t="n">
        <f aca="false">COUNTIFS('Ma trận'!$C$9:$C$14,$B7,'Ma trận'!$G$9:$G$14,"&lt;&gt;")</f>
        <v>1</v>
      </c>
      <c r="E7" s="8" t="n">
        <f aca="false">COUNTIFS('Ma trận'!$C$16:$C$21,$B7,'Ma trận'!$G$16:$G$21,"&lt;&gt;")</f>
        <v>1</v>
      </c>
      <c r="F7" s="8" t="str">
        <f aca="false">IF(AND(C7&gt;0,D7&gt;0,E7&gt;0),"ĐẠT","THIẾU")</f>
        <v>ĐẠT</v>
      </c>
    </row>
    <row r="8" customFormat="false" ht="14.25" hidden="false" customHeight="true" outlineLevel="0" collapsed="false">
      <c r="A8" s="16" t="s">
        <v>20</v>
      </c>
      <c r="B8" s="16" t="s">
        <v>53</v>
      </c>
      <c r="C8" s="8" t="n">
        <f aca="false">COUNTIFS('Ma trận'!$C$2:$C$7,$B8,'Ma trận'!$G$2:$G$7,"&lt;&gt;")</f>
        <v>1</v>
      </c>
      <c r="D8" s="8" t="n">
        <f aca="false">COUNTIFS('Ma trận'!$C$9:$C$14,$B8,'Ma trận'!$G$9:$G$14,"&lt;&gt;")</f>
        <v>1</v>
      </c>
      <c r="E8" s="8" t="n">
        <f aca="false">COUNTIFS('Ma trận'!$C$16:$C$21,$B8,'Ma trận'!$G$16:$G$21,"&lt;&gt;")</f>
        <v>1</v>
      </c>
      <c r="F8" s="8" t="str">
        <f aca="false">IF(AND(C8&gt;0,D8&gt;0,E8&gt;0),"ĐẠT","THIẾU")</f>
        <v>ĐẠT</v>
      </c>
    </row>
    <row r="9" customFormat="false" ht="14.25" hidden="false" customHeight="true" outlineLevel="0" collapsed="false">
      <c r="A9" s="16" t="s">
        <v>21</v>
      </c>
      <c r="B9" s="16" t="s">
        <v>30</v>
      </c>
      <c r="C9" s="8" t="n">
        <f aca="false">COUNTIFS('Ma trận'!$D$2:$D$7,$B9,'Ma trận'!$G$2:$G$7,"&lt;&gt;")</f>
        <v>2</v>
      </c>
      <c r="D9" s="8" t="n">
        <f aca="false">COUNTIFS('Ma trận'!$D$9:$D$14,$B9,'Ma trận'!$G$9:$G$14,"&lt;&gt;")</f>
        <v>2</v>
      </c>
      <c r="E9" s="8" t="n">
        <f aca="false">COUNTIFS('Ma trận'!$D$16:$D$21,$B9,'Ma trận'!$G$16:$G$21,"&lt;&gt;")</f>
        <v>2</v>
      </c>
      <c r="F9" s="8" t="str">
        <f aca="false">IF(AND(C9&gt;0,D9&gt;0,E9&gt;0),"ĐẠT","THIẾU")</f>
        <v>ĐẠT</v>
      </c>
    </row>
    <row r="10" customFormat="false" ht="14.25" hidden="false" customHeight="true" outlineLevel="0" collapsed="false">
      <c r="A10" s="16" t="s">
        <v>21</v>
      </c>
      <c r="B10" s="16" t="s">
        <v>36</v>
      </c>
      <c r="C10" s="8" t="n">
        <f aca="false">COUNTIFS('Ma trận'!$D$2:$D$7,$B10,'Ma trận'!$G$2:$G$7,"&lt;&gt;")</f>
        <v>1</v>
      </c>
      <c r="D10" s="8" t="n">
        <f aca="false">COUNTIFS('Ma trận'!$D$9:$D$14,$B10,'Ma trận'!$G$9:$G$14,"&lt;&gt;")</f>
        <v>1</v>
      </c>
      <c r="E10" s="8" t="n">
        <f aca="false">COUNTIFS('Ma trận'!$D$16:$D$21,$B10,'Ma trận'!$G$16:$G$21,"&lt;&gt;")</f>
        <v>1</v>
      </c>
      <c r="F10" s="8" t="str">
        <f aca="false">IF(AND(C10&gt;0,D10&gt;0,E10&gt;0),"ĐẠT","THIẾU")</f>
        <v>ĐẠT</v>
      </c>
    </row>
    <row r="11" customFormat="false" ht="14.25" hidden="false" customHeight="true" outlineLevel="0" collapsed="false">
      <c r="A11" s="16" t="s">
        <v>21</v>
      </c>
      <c r="B11" s="16" t="s">
        <v>39</v>
      </c>
      <c r="C11" s="8" t="n">
        <f aca="false">COUNTIFS('Ma trận'!$D$2:$D$7,$B11,'Ma trận'!$G$2:$G$7,"&lt;&gt;")</f>
        <v>1</v>
      </c>
      <c r="D11" s="8" t="n">
        <f aca="false">COUNTIFS('Ma trận'!$D$9:$D$14,$B11,'Ma trận'!$G$9:$G$14,"&lt;&gt;")</f>
        <v>1</v>
      </c>
      <c r="E11" s="8" t="n">
        <f aca="false">COUNTIFS('Ma trận'!$D$16:$D$21,$B11,'Ma trận'!$G$16:$G$21,"&lt;&gt;")</f>
        <v>1</v>
      </c>
      <c r="F11" s="8" t="str">
        <f aca="false">IF(AND(C11&gt;0,D11&gt;0,E11&gt;0),"ĐẠT","THIẾU")</f>
        <v>ĐẠT</v>
      </c>
    </row>
    <row r="12" customFormat="false" ht="14.25" hidden="false" customHeight="true" outlineLevel="0" collapsed="false">
      <c r="A12" s="16" t="s">
        <v>21</v>
      </c>
      <c r="B12" s="16" t="s">
        <v>43</v>
      </c>
      <c r="C12" s="8" t="n">
        <f aca="false">COUNTIFS('Ma trận'!$D$2:$D$7,$B12,'Ma trận'!$G$2:$G$7,"&lt;&gt;")</f>
        <v>2</v>
      </c>
      <c r="D12" s="8" t="n">
        <f aca="false">COUNTIFS('Ma trận'!$D$9:$D$14,$B12,'Ma trận'!$G$9:$G$14,"&lt;&gt;")</f>
        <v>2</v>
      </c>
      <c r="E12" s="8" t="n">
        <f aca="false">COUNTIFS('Ma trận'!$D$16:$D$21,$B12,'Ma trận'!$G$16:$G$21,"&lt;&gt;")</f>
        <v>2</v>
      </c>
      <c r="F12" s="8" t="str">
        <f aca="false">IF(AND(C12&gt;0,D12&gt;0,E12&gt;0),"ĐẠT","THIẾU")</f>
        <v>ĐẠT</v>
      </c>
    </row>
    <row r="13" customFormat="false" ht="14.25" hidden="false" customHeight="true" outlineLevel="0" collapsed="false">
      <c r="A13" s="16" t="s">
        <v>21</v>
      </c>
      <c r="B13" s="16" t="s">
        <v>80</v>
      </c>
      <c r="C13" s="8" t="n">
        <f aca="false">COUNTIFS('Ma trận'!$D$2:$D$7,$B13,'Ma trận'!$G$2:$G$7,"&lt;&gt;")</f>
        <v>0</v>
      </c>
      <c r="D13" s="8" t="n">
        <f aca="false">COUNTIFS('Ma trận'!$D$9:$D$14,$B13,'Ma trận'!$G$9:$G$14,"&lt;&gt;")</f>
        <v>0</v>
      </c>
      <c r="E13" s="8" t="n">
        <f aca="false">COUNTIFS('Ma trận'!$D$16:$D$21,$B13,'Ma trận'!$G$16:$G$21,"&lt;&gt;")</f>
        <v>0</v>
      </c>
      <c r="F13" s="8" t="str">
        <f aca="false">IF(AND(C13&gt;0,D13&gt;0,E13&gt;0),"ĐẠT","THIẾU")</f>
        <v>THIẾU</v>
      </c>
    </row>
    <row r="14" customFormat="false" ht="14.25" hidden="false" customHeight="true" outlineLevel="0" collapsed="false">
      <c r="A14" s="16" t="s">
        <v>22</v>
      </c>
      <c r="B14" s="16" t="s">
        <v>31</v>
      </c>
      <c r="C14" s="8" t="n">
        <f aca="false">COUNTIFS('Ma trận'!$E$2:$E$7,$B14,'Ma trận'!$G$2:$G$7,"&lt;&gt;")</f>
        <v>3</v>
      </c>
      <c r="D14" s="8" t="n">
        <f aca="false">COUNTIFS('Ma trận'!$E$9:$E$14,$B14,'Ma trận'!$G$9:$G$14,"&lt;&gt;")</f>
        <v>3</v>
      </c>
      <c r="E14" s="8" t="n">
        <f aca="false">COUNTIFS('Ma trận'!$E$16:$E$21,$B14,'Ma trận'!$G$16:$G$21,"&lt;&gt;")</f>
        <v>3</v>
      </c>
      <c r="F14" s="8" t="str">
        <f aca="false">IF(AND(C14&gt;0,D14&gt;0,E14&gt;0),"ĐẠT","THIẾU")</f>
        <v>ĐẠT</v>
      </c>
    </row>
    <row r="15" customFormat="false" ht="14.25" hidden="false" customHeight="true" outlineLevel="0" collapsed="false">
      <c r="A15" s="16" t="s">
        <v>22</v>
      </c>
      <c r="B15" s="16" t="s">
        <v>44</v>
      </c>
      <c r="C15" s="8" t="n">
        <f aca="false">COUNTIFS('Ma trận'!$E$2:$E$7,$B15,'Ma trận'!$G$2:$G$7,"&lt;&gt;")</f>
        <v>2</v>
      </c>
      <c r="D15" s="8" t="n">
        <f aca="false">COUNTIFS('Ma trận'!$E$9:$E$14,$B15,'Ma trận'!$G$9:$G$14,"&lt;&gt;")</f>
        <v>2</v>
      </c>
      <c r="E15" s="8" t="n">
        <f aca="false">COUNTIFS('Ma trận'!$E$16:$E$21,$B15,'Ma trận'!$G$16:$G$21,"&lt;&gt;")</f>
        <v>2</v>
      </c>
      <c r="F15" s="8" t="str">
        <f aca="false">IF(AND(C15&gt;0,D15&gt;0,E15&gt;0),"ĐẠT","THIẾU")</f>
        <v>ĐẠT</v>
      </c>
    </row>
    <row r="16" customFormat="false" ht="14.25" hidden="false" customHeight="true" outlineLevel="0" collapsed="false">
      <c r="A16" s="16" t="s">
        <v>22</v>
      </c>
      <c r="B16" s="16" t="s">
        <v>54</v>
      </c>
      <c r="C16" s="8" t="n">
        <f aca="false">COUNTIFS('Ma trận'!$E$2:$E$7,$B16,'Ma trận'!$G$2:$G$7,"&lt;&gt;")</f>
        <v>1</v>
      </c>
      <c r="D16" s="8" t="n">
        <f aca="false">COUNTIFS('Ma trận'!$E$9:$E$14,$B16,'Ma trận'!$G$9:$G$14,"&lt;&gt;")</f>
        <v>1</v>
      </c>
      <c r="E16" s="8" t="n">
        <f aca="false">COUNTIFS('Ma trận'!$E$16:$E$21,$B16,'Ma trận'!$G$16:$G$21,"&lt;&gt;")</f>
        <v>1</v>
      </c>
      <c r="F16" s="8" t="str">
        <f aca="false">IF(AND(C16&gt;0,D16&gt;0,E16&gt;0),"ĐẠT","THIẾU")</f>
        <v>ĐẠT</v>
      </c>
    </row>
    <row r="17" customFormat="false" ht="14.25" hidden="false" customHeight="true" outlineLevel="0" collapsed="false"/>
    <row r="18" customFormat="false" ht="14.25" hidden="false" customHeight="true" outlineLevel="0" collapsed="false">
      <c r="A18" s="3" t="s">
        <v>81</v>
      </c>
    </row>
    <row r="19" customFormat="false" ht="14.25" hidden="false" customHeight="true" outlineLevel="0" collapsed="false">
      <c r="A19" s="17" t="s">
        <v>82</v>
      </c>
      <c r="C19" s="18" t="str">
        <f aca="false">COUNTIF('Ma trận'!G:G,"Pass")+COUNTIF('Ma trận'!G:G,"Fail")&amp;" / 18"</f>
        <v>18 / 18</v>
      </c>
    </row>
    <row r="20" customFormat="false" ht="14.25" hidden="false" customHeight="true" outlineLevel="0" collapsed="false">
      <c r="A20" s="17" t="s">
        <v>83</v>
      </c>
      <c r="C20" s="18" t="n">
        <f aca="false">COUNTIF('Ma trận'!G:G,"Pass")</f>
        <v>12</v>
      </c>
    </row>
    <row r="21" customFormat="false" ht="14.25" hidden="false" customHeight="true" outlineLevel="0" collapsed="false">
      <c r="A21" s="17" t="s">
        <v>84</v>
      </c>
      <c r="C21" s="18" t="n">
        <f aca="false">COUNTIF('Ma trận'!G:G,"Fail")</f>
        <v>6</v>
      </c>
    </row>
    <row r="22" customFormat="false" ht="14.25" hidden="false" customHeight="true" outlineLevel="0" collapsed="false">
      <c r="A22" s="17" t="s">
        <v>85</v>
      </c>
      <c r="C22" s="18" t="str">
        <f aca="false">IF(COUNTIF(F5:F16,"THIẾU")=0,"ĐẠT TẤT CẢ","CÒN THIẾU "&amp;COUNTIF(F5:F16,"THIẾU")&amp;" tiêu chí")</f>
        <v>CÒN THIẾU 1 tiêu chí</v>
      </c>
    </row>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F5:F16">
    <cfRule type="cellIs" priority="2" operator="equal" aboveAverage="0" equalAverage="0" bottom="0" percent="0" rank="0" text="" dxfId="10">
      <formula>"ĐẠT"</formula>
    </cfRule>
    <cfRule type="cellIs" priority="3" operator="equal" aboveAverage="0" equalAverage="0" bottom="0" percent="0" rank="0" text="" dxfId="11">
      <formula>"THIẾU"</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24"/>
    <col collapsed="false" customWidth="true" hidden="false" outlineLevel="0" max="4" min="4" style="0" width="34"/>
    <col collapsed="false" customWidth="true" hidden="false" outlineLevel="0" max="5" min="5" style="0" width="22"/>
    <col collapsed="false" customWidth="true" hidden="false" outlineLevel="0" max="6" min="6" style="0" width="46"/>
    <col collapsed="false" customWidth="true" hidden="false" outlineLevel="0" max="7" min="7" style="0" width="20"/>
    <col collapsed="false" customWidth="true" hidden="false" outlineLevel="0" max="8" min="8" style="0" width="40"/>
    <col collapsed="false" customWidth="true" hidden="false" outlineLevel="0" max="9" min="9" style="0" width="34"/>
    <col collapsed="false" customWidth="true" hidden="false" outlineLevel="0" max="10" min="10" style="0" width="13"/>
    <col collapsed="false" customWidth="true" hidden="false" outlineLevel="0" max="26" min="11" style="0" width="8.71"/>
  </cols>
  <sheetData>
    <row r="1" customFormat="false" ht="14.25" hidden="false" customHeight="true" outlineLevel="0" collapsed="false">
      <c r="A1" s="14" t="s">
        <v>86</v>
      </c>
    </row>
    <row r="2" customFormat="false" ht="14.25" hidden="false" customHeight="true" outlineLevel="0" collapsed="false">
      <c r="A2" s="19" t="s">
        <v>87</v>
      </c>
    </row>
    <row r="3" customFormat="false" ht="14.25" hidden="false" customHeight="true" outlineLevel="0" collapsed="false"/>
    <row r="4" customFormat="false" ht="14.25" hidden="false" customHeight="true" outlineLevel="0" collapsed="false">
      <c r="A4" s="7" t="s">
        <v>88</v>
      </c>
      <c r="B4" s="7" t="s">
        <v>18</v>
      </c>
      <c r="C4" s="7" t="s">
        <v>19</v>
      </c>
      <c r="D4" s="7" t="s">
        <v>89</v>
      </c>
      <c r="E4" s="7" t="s">
        <v>90</v>
      </c>
      <c r="F4" s="7" t="s">
        <v>91</v>
      </c>
      <c r="G4" s="7" t="s">
        <v>92</v>
      </c>
      <c r="H4" s="7" t="s">
        <v>93</v>
      </c>
      <c r="I4" s="7" t="s">
        <v>94</v>
      </c>
      <c r="J4" s="7" t="s">
        <v>95</v>
      </c>
    </row>
    <row r="5" customFormat="false" ht="109.5" hidden="false" customHeight="true" outlineLevel="0" collapsed="false">
      <c r="A5" s="9" t="str">
        <f aca="false">IF(F5="","","CP-"&amp;TEXT(ROW()-4,"000"))</f>
        <v>CP-001</v>
      </c>
      <c r="B5" s="20" t="s">
        <v>41</v>
      </c>
      <c r="C5" s="20" t="s">
        <v>96</v>
      </c>
      <c r="D5" s="20" t="s">
        <v>97</v>
      </c>
      <c r="E5" s="20" t="s">
        <v>98</v>
      </c>
      <c r="F5" s="20" t="s">
        <v>99</v>
      </c>
      <c r="G5" s="20" t="s">
        <v>100</v>
      </c>
      <c r="H5" s="20" t="s">
        <v>101</v>
      </c>
      <c r="I5" s="20" t="s">
        <v>47</v>
      </c>
      <c r="J5" s="20" t="s">
        <v>102</v>
      </c>
    </row>
    <row r="6" customFormat="false" ht="109.5" hidden="false" customHeight="true" outlineLevel="0" collapsed="false">
      <c r="A6" s="9" t="str">
        <f aca="false">IF(F6="","","CP-"&amp;TEXT(ROW()-4,"000"))</f>
        <v>CP-002</v>
      </c>
      <c r="B6" s="20" t="s">
        <v>48</v>
      </c>
      <c r="C6" s="20" t="s">
        <v>96</v>
      </c>
      <c r="D6" s="20" t="s">
        <v>103</v>
      </c>
      <c r="E6" s="20" t="s">
        <v>104</v>
      </c>
      <c r="F6" s="20" t="s">
        <v>105</v>
      </c>
      <c r="G6" s="20" t="s">
        <v>106</v>
      </c>
      <c r="H6" s="20" t="s">
        <v>107</v>
      </c>
      <c r="I6" s="20" t="s">
        <v>51</v>
      </c>
      <c r="J6" s="20" t="s">
        <v>102</v>
      </c>
    </row>
    <row r="7" customFormat="false" ht="109.5" hidden="false" customHeight="true" outlineLevel="0" collapsed="false">
      <c r="A7" s="9" t="str">
        <f aca="false">IF(F7="","","CP-"&amp;TEXT(ROW()-4,"000"))</f>
        <v>CP-003</v>
      </c>
      <c r="B7" s="20" t="s">
        <v>41</v>
      </c>
      <c r="C7" s="20" t="s">
        <v>108</v>
      </c>
      <c r="D7" s="20" t="s">
        <v>97</v>
      </c>
      <c r="E7" s="20" t="s">
        <v>98</v>
      </c>
      <c r="F7" s="20" t="s">
        <v>109</v>
      </c>
      <c r="G7" s="20" t="s">
        <v>100</v>
      </c>
      <c r="H7" s="20" t="s">
        <v>110</v>
      </c>
      <c r="I7" s="20" t="s">
        <v>111</v>
      </c>
      <c r="J7" s="20" t="s">
        <v>102</v>
      </c>
    </row>
    <row r="8" customFormat="false" ht="109.5" hidden="false" customHeight="true" outlineLevel="0" collapsed="false">
      <c r="A8" s="9" t="str">
        <f aca="false">IF(F8="","","CP-"&amp;TEXT(ROW()-4,"000"))</f>
        <v>CP-004</v>
      </c>
      <c r="B8" s="20" t="s">
        <v>48</v>
      </c>
      <c r="C8" s="20" t="s">
        <v>108</v>
      </c>
      <c r="D8" s="20" t="s">
        <v>103</v>
      </c>
      <c r="E8" s="20" t="s">
        <v>98</v>
      </c>
      <c r="F8" s="20" t="s">
        <v>112</v>
      </c>
      <c r="G8" s="20" t="s">
        <v>100</v>
      </c>
      <c r="H8" s="20" t="s">
        <v>113</v>
      </c>
      <c r="I8" s="20" t="s">
        <v>62</v>
      </c>
      <c r="J8" s="20" t="s">
        <v>102</v>
      </c>
    </row>
    <row r="9" customFormat="false" ht="109.5" hidden="false" customHeight="true" outlineLevel="0" collapsed="false">
      <c r="A9" s="9" t="str">
        <f aca="false">IF(F9="","","CP-"&amp;TEXT(ROW()-4,"000"))</f>
        <v>CP-005</v>
      </c>
      <c r="B9" s="20" t="s">
        <v>41</v>
      </c>
      <c r="C9" s="20" t="s">
        <v>114</v>
      </c>
      <c r="D9" s="20" t="s">
        <v>97</v>
      </c>
      <c r="E9" s="20" t="s">
        <v>115</v>
      </c>
      <c r="F9" s="20" t="s">
        <v>116</v>
      </c>
      <c r="G9" s="20" t="s">
        <v>106</v>
      </c>
      <c r="H9" s="20" t="s">
        <v>117</v>
      </c>
      <c r="I9" s="20" t="s">
        <v>118</v>
      </c>
      <c r="J9" s="20" t="s">
        <v>102</v>
      </c>
    </row>
    <row r="10" customFormat="false" ht="109.5" hidden="false" customHeight="true" outlineLevel="0" collapsed="false">
      <c r="A10" s="9" t="str">
        <f aca="false">IF(F10="","","CP-"&amp;TEXT(ROW()-4,"000"))</f>
        <v>CP-006</v>
      </c>
      <c r="B10" s="20" t="s">
        <v>48</v>
      </c>
      <c r="C10" s="20" t="s">
        <v>114</v>
      </c>
      <c r="D10" s="20" t="s">
        <v>103</v>
      </c>
      <c r="E10" s="20" t="s">
        <v>104</v>
      </c>
      <c r="F10" s="20" t="s">
        <v>119</v>
      </c>
      <c r="G10" s="20" t="s">
        <v>106</v>
      </c>
      <c r="H10" s="20" t="s">
        <v>120</v>
      </c>
      <c r="I10" s="20" t="s">
        <v>121</v>
      </c>
      <c r="J10" s="20" t="s">
        <v>102</v>
      </c>
    </row>
    <row r="11" customFormat="false" ht="30" hidden="false" customHeight="true" outlineLevel="0" collapsed="false">
      <c r="A11" s="9" t="str">
        <f aca="false">IF(F11="","","CP-"&amp;TEXT(ROW()-4,"000"))</f>
        <v/>
      </c>
      <c r="B11" s="10"/>
      <c r="C11" s="11"/>
      <c r="D11" s="11"/>
      <c r="E11" s="10"/>
      <c r="F11" s="11"/>
      <c r="G11" s="10"/>
      <c r="H11" s="11"/>
      <c r="I11" s="11"/>
      <c r="J11" s="10"/>
    </row>
    <row r="12" customFormat="false" ht="30" hidden="false" customHeight="true" outlineLevel="0" collapsed="false">
      <c r="A12" s="9" t="str">
        <f aca="false">IF(F12="","","CP-"&amp;TEXT(ROW()-4,"000"))</f>
        <v/>
      </c>
      <c r="B12" s="10"/>
      <c r="C12" s="11"/>
      <c r="D12" s="11"/>
      <c r="E12" s="10"/>
      <c r="F12" s="11"/>
      <c r="G12" s="10"/>
      <c r="H12" s="11"/>
      <c r="I12" s="11"/>
      <c r="J12" s="10"/>
    </row>
    <row r="13" customFormat="false" ht="30" hidden="false" customHeight="true" outlineLevel="0" collapsed="false">
      <c r="A13" s="9" t="str">
        <f aca="false">IF(F13="","","CP-"&amp;TEXT(ROW()-4,"000"))</f>
        <v/>
      </c>
      <c r="B13" s="10"/>
      <c r="C13" s="11"/>
      <c r="D13" s="11"/>
      <c r="E13" s="10"/>
      <c r="F13" s="11"/>
      <c r="G13" s="10"/>
      <c r="H13" s="11"/>
      <c r="I13" s="11"/>
      <c r="J13" s="10"/>
    </row>
    <row r="14" customFormat="false" ht="30" hidden="false" customHeight="true" outlineLevel="0" collapsed="false">
      <c r="A14" s="9" t="str">
        <f aca="false">IF(F14="","","CP-"&amp;TEXT(ROW()-4,"000"))</f>
        <v/>
      </c>
      <c r="B14" s="10"/>
      <c r="C14" s="11"/>
      <c r="D14" s="11"/>
      <c r="E14" s="10"/>
      <c r="F14" s="11"/>
      <c r="G14" s="10"/>
      <c r="H14" s="11"/>
      <c r="I14" s="11"/>
      <c r="J14" s="10"/>
    </row>
    <row r="15" customFormat="false" ht="30" hidden="false" customHeight="true" outlineLevel="0" collapsed="false">
      <c r="A15" s="9" t="str">
        <f aca="false">IF(F15="","","CP-"&amp;TEXT(ROW()-4,"000"))</f>
        <v/>
      </c>
      <c r="B15" s="10"/>
      <c r="C15" s="11"/>
      <c r="D15" s="11"/>
      <c r="E15" s="10"/>
      <c r="F15" s="11"/>
      <c r="G15" s="10"/>
      <c r="H15" s="11"/>
      <c r="I15" s="11"/>
      <c r="J15" s="10"/>
    </row>
    <row r="16" customFormat="false" ht="30" hidden="false" customHeight="true" outlineLevel="0" collapsed="false">
      <c r="A16" s="9" t="str">
        <f aca="false">IF(F16="","","CP-"&amp;TEXT(ROW()-4,"000"))</f>
        <v/>
      </c>
      <c r="B16" s="10"/>
      <c r="C16" s="11"/>
      <c r="D16" s="11"/>
      <c r="E16" s="10"/>
      <c r="F16" s="11"/>
      <c r="G16" s="10"/>
      <c r="H16" s="11"/>
      <c r="I16" s="11"/>
      <c r="J16" s="10"/>
    </row>
    <row r="17" customFormat="false" ht="30" hidden="false" customHeight="true" outlineLevel="0" collapsed="false">
      <c r="A17" s="9" t="str">
        <f aca="false">IF(F17="","","CP-"&amp;TEXT(ROW()-4,"000"))</f>
        <v/>
      </c>
      <c r="B17" s="10"/>
      <c r="C17" s="11"/>
      <c r="D17" s="11"/>
      <c r="E17" s="10"/>
      <c r="F17" s="11"/>
      <c r="G17" s="10"/>
      <c r="H17" s="11"/>
      <c r="I17" s="11"/>
      <c r="J17" s="10"/>
    </row>
    <row r="18" customFormat="false" ht="30" hidden="false" customHeight="true" outlineLevel="0" collapsed="false">
      <c r="A18" s="9" t="str">
        <f aca="false">IF(F18="","","CP-"&amp;TEXT(ROW()-4,"000"))</f>
        <v/>
      </c>
      <c r="B18" s="10"/>
      <c r="C18" s="11"/>
      <c r="D18" s="11"/>
      <c r="E18" s="10"/>
      <c r="F18" s="11"/>
      <c r="G18" s="10"/>
      <c r="H18" s="11"/>
      <c r="I18" s="11"/>
      <c r="J18" s="10"/>
    </row>
    <row r="19" customFormat="false" ht="30" hidden="false" customHeight="true" outlineLevel="0" collapsed="false">
      <c r="A19" s="9" t="str">
        <f aca="false">IF(F19="","","CP-"&amp;TEXT(ROW()-4,"000"))</f>
        <v/>
      </c>
      <c r="B19" s="10"/>
      <c r="C19" s="11"/>
      <c r="D19" s="11"/>
      <c r="E19" s="10"/>
      <c r="F19" s="11"/>
      <c r="G19" s="10"/>
      <c r="H19" s="11"/>
      <c r="I19" s="11"/>
      <c r="J19" s="10"/>
    </row>
    <row r="20" customFormat="false" ht="30" hidden="false" customHeight="true" outlineLevel="0" collapsed="false">
      <c r="A20" s="9" t="str">
        <f aca="false">IF(F20="","","CP-"&amp;TEXT(ROW()-4,"000"))</f>
        <v/>
      </c>
      <c r="B20" s="10"/>
      <c r="C20" s="11"/>
      <c r="D20" s="11"/>
      <c r="E20" s="10"/>
      <c r="F20" s="11"/>
      <c r="G20" s="10"/>
      <c r="H20" s="11"/>
      <c r="I20" s="11"/>
      <c r="J20" s="10"/>
    </row>
    <row r="21" customFormat="false" ht="30" hidden="false" customHeight="true" outlineLevel="0" collapsed="false">
      <c r="A21" s="9" t="str">
        <f aca="false">IF(F21="","","CP-"&amp;TEXT(ROW()-4,"000"))</f>
        <v/>
      </c>
      <c r="B21" s="10"/>
      <c r="C21" s="11"/>
      <c r="D21" s="11"/>
      <c r="E21" s="10"/>
      <c r="F21" s="11"/>
      <c r="G21" s="10"/>
      <c r="H21" s="11"/>
      <c r="I21" s="11"/>
      <c r="J21" s="10"/>
    </row>
    <row r="22" customFormat="false" ht="30" hidden="false" customHeight="true" outlineLevel="0" collapsed="false">
      <c r="A22" s="9" t="str">
        <f aca="false">IF(F22="","","CP-"&amp;TEXT(ROW()-4,"000"))</f>
        <v/>
      </c>
      <c r="B22" s="10"/>
      <c r="C22" s="11"/>
      <c r="D22" s="11"/>
      <c r="E22" s="10"/>
      <c r="F22" s="11"/>
      <c r="G22" s="10"/>
      <c r="H22" s="11"/>
      <c r="I22" s="11"/>
      <c r="J22" s="10"/>
    </row>
    <row r="23" customFormat="false" ht="30" hidden="false" customHeight="true" outlineLevel="0" collapsed="false">
      <c r="A23" s="9" t="str">
        <f aca="false">IF(F23="","","CP-"&amp;TEXT(ROW()-4,"000"))</f>
        <v/>
      </c>
      <c r="B23" s="10"/>
      <c r="C23" s="11"/>
      <c r="D23" s="11"/>
      <c r="E23" s="10"/>
      <c r="F23" s="11"/>
      <c r="G23" s="10"/>
      <c r="H23" s="11"/>
      <c r="I23" s="11"/>
      <c r="J23" s="10"/>
    </row>
    <row r="24" customFormat="false" ht="30" hidden="false" customHeight="true" outlineLevel="0" collapsed="false">
      <c r="A24" s="9" t="str">
        <f aca="false">IF(F24="","","CP-"&amp;TEXT(ROW()-4,"000"))</f>
        <v/>
      </c>
      <c r="B24" s="10"/>
      <c r="C24" s="11"/>
      <c r="D24" s="11"/>
      <c r="E24" s="10"/>
      <c r="F24" s="11"/>
      <c r="G24" s="10"/>
      <c r="H24" s="11"/>
      <c r="I24" s="11"/>
      <c r="J24" s="10"/>
    </row>
    <row r="25" customFormat="false" ht="30" hidden="false" customHeight="true" outlineLevel="0" collapsed="false">
      <c r="A25" s="9" t="str">
        <f aca="false">IF(F25="","","CP-"&amp;TEXT(ROW()-4,"000"))</f>
        <v/>
      </c>
      <c r="B25" s="10"/>
      <c r="C25" s="11"/>
      <c r="D25" s="11"/>
      <c r="E25" s="10"/>
      <c r="F25" s="11"/>
      <c r="G25" s="10"/>
      <c r="H25" s="11"/>
      <c r="I25" s="11"/>
      <c r="J25" s="10"/>
    </row>
    <row r="26" customFormat="false" ht="30" hidden="false" customHeight="true" outlineLevel="0" collapsed="false">
      <c r="A26" s="9" t="str">
        <f aca="false">IF(F26="","","CP-"&amp;TEXT(ROW()-4,"000"))</f>
        <v/>
      </c>
      <c r="B26" s="10"/>
      <c r="C26" s="11"/>
      <c r="D26" s="11"/>
      <c r="E26" s="10"/>
      <c r="F26" s="11"/>
      <c r="G26" s="10"/>
      <c r="H26" s="11"/>
      <c r="I26" s="11"/>
      <c r="J26" s="10"/>
    </row>
    <row r="27" customFormat="false" ht="30" hidden="false" customHeight="true" outlineLevel="0" collapsed="false">
      <c r="A27" s="9" t="str">
        <f aca="false">IF(F27="","","CP-"&amp;TEXT(ROW()-4,"000"))</f>
        <v/>
      </c>
      <c r="B27" s="10"/>
      <c r="C27" s="11"/>
      <c r="D27" s="11"/>
      <c r="E27" s="10"/>
      <c r="F27" s="11"/>
      <c r="G27" s="10"/>
      <c r="H27" s="11"/>
      <c r="I27" s="11"/>
      <c r="J27" s="10"/>
    </row>
    <row r="28" customFormat="false" ht="30" hidden="false" customHeight="true" outlineLevel="0" collapsed="false">
      <c r="A28" s="9" t="str">
        <f aca="false">IF(F28="","","CP-"&amp;TEXT(ROW()-4,"000"))</f>
        <v/>
      </c>
      <c r="B28" s="10"/>
      <c r="C28" s="11"/>
      <c r="D28" s="11"/>
      <c r="E28" s="10"/>
      <c r="F28" s="11"/>
      <c r="G28" s="10"/>
      <c r="H28" s="11"/>
      <c r="I28" s="11"/>
      <c r="J28" s="10"/>
    </row>
    <row r="29" customFormat="false" ht="30" hidden="false" customHeight="true" outlineLevel="0" collapsed="false">
      <c r="A29" s="9" t="str">
        <f aca="false">IF(F29="","","CP-"&amp;TEXT(ROW()-4,"000"))</f>
        <v/>
      </c>
      <c r="B29" s="10"/>
      <c r="C29" s="11"/>
      <c r="D29" s="11"/>
      <c r="E29" s="10"/>
      <c r="F29" s="11"/>
      <c r="G29" s="10"/>
      <c r="H29" s="11"/>
      <c r="I29" s="11"/>
      <c r="J29" s="10"/>
    </row>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autoFilter ref="A4:J29"/>
  <dataValidations count="3">
    <dataValidation allowBlank="true" errorStyle="stop" operator="between" showDropDown="false" showErrorMessage="false" showInputMessage="false" sqref="G5:G29" type="list">
      <formula1>"1 - Chỉ là mỹ quan,2 - Nhỏ,3 - Lớn,4 - Thảm hoạ"</formula1>
      <formula2>0</formula2>
    </dataValidation>
    <dataValidation allowBlank="true" errorStyle="stop" operator="between" showDropDown="false" showErrorMessage="false" showInputMessage="false" sqref="J5:J29" type="list">
      <formula1>"Rồi,Chưa"</formula1>
      <formula2>0</formula2>
    </dataValidation>
    <dataValidation allowBlank="true" errorStyle="stop" operator="between" showDropDown="false" showErrorMessage="false" showInputMessage="false" sqref="E5:E29" type="list">
      <formula1>"Tràn nội dung,Chồng lấp,Vỡ layout,Chữ không đọc được,Control không bấm được,Cuộn ngang,Ảnh sai tỉ lệ,Font không hiển thị,Khác"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2026-08-01T04:23:58Z</dcterms:created>
  <dc:creator>openpyxl</dc:creator>
  <dc:description/>
  <dc:language>en-US</dc:language>
  <cp:lastModifiedBy/>
  <dcterms:modified xsi:type="dcterms:W3CDTF">2026-08-03T13:05:08Z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