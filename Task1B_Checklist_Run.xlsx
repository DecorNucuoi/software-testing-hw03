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ướng dẫn" sheetId="1" state="visible" r:id="rId3"/>
    <sheet name="Checklist_Run" sheetId="2" state="visible" r:id="rId4"/>
    <sheet name="Thống kê" sheetId="3" state="visible" r:id="rId5"/>
    <sheet name="Bug_Log" sheetId="4" state="visible" r:id="rId6"/>
  </sheets>
  <definedNames>
    <definedName function="false" hidden="true" localSheetId="3" name="_xlnm._FilterDatabase" vbProcedure="false">Bug_Log!$A$1:$J$61</definedName>
    <definedName function="false" hidden="true" localSheetId="1" name="_xlnm._FilterDatabase" vbProcedure="false">Checklist_Run!$A$1:$L$49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<sst xmlns="http://schemas.openxmlformats.org/spreadsheetml/2006/main" count="658" uniqueCount="342">
  <si>
    <t xml:space="preserve">HW03 – Task 1B · Sổ thực thi Checklist GUI trên EMS</t>
  </si>
  <si>
    <t xml:space="preserve">Phạm Anh Hào – 23127362 · Kịch bản A – Admin tạo và quản lý sự kiện</t>
  </si>
  <si>
    <t xml:space="preserve">Ba màn hình phụ trách</t>
  </si>
  <si>
    <t xml:space="preserve">A1 — Danh sách Events (bộ lọc trạng thái, chấm thông báo)</t>
  </si>
  <si>
    <t xml:space="preserve">A2 — Form Add/Edit Event (upload 4:3 + 24:9, rich-text, 6 trường ngày giờ ràng buộc chéo)</t>
  </si>
  <si>
    <t xml:space="preserve">A4 — Duyệt Participants &amp; Reviews (màu trạng thái, progress bar, Export Excel)</t>
  </si>
  <si>
    <t xml:space="preserve">Cách điền</t>
  </si>
  <si>
    <t xml:space="preserve">Chỉ điền vào các ô TÔ VÀNG ở sheet "Checklist_Run". Các cột trắng là dữ liệu gốc, không sửa.</t>
  </si>
  <si>
    <t xml:space="preserve">Cột kết quả (A1 / A2 / A4) có dropdown, chỉ chọn một trong ba giá trị:</t>
  </si>
  <si>
    <t xml:space="preserve">       P     = Passed  → không cần ghi chú, không cần ảnh</t>
  </si>
  <si>
    <t xml:space="preserve">       F     = Failed  → BẮT BUỘC ghi lý do vào cột Ghi chú + chụp ảnh + ghi tên file ảnh</t>
  </si>
  <si>
    <t xml:space="preserve">       N/A = Không áp dụng → BẮT BUỘC ghi lý do vào cột Ghi chú. KHÔNG được để trống dòng.</t>
  </si>
  <si>
    <t xml:space="preserve">Ví dụ một dòng đã điền đúng</t>
  </si>
  <si>
    <t xml:space="preserve">ID: GUI-02-04 | A1: N/A | Ghi chú A1: "Màn hình danh sách không có chức năng upload"</t>
  </si>
  <si>
    <t xml:space="preserve">                          | A2: F   | Ghi chú A2: "Giao diện ghi 'Supported any file format' nhưng hộp chọn file chỉ nhận .pdf .doc .docx .xls .xlsx — ảnh PNG bị chặn. Ảnh: A2_upload_dinh-dang-sai.png"</t>
  </si>
  <si>
    <t xml:space="preserve">                          | A4: P   | Ghi chú A4: (để trống)</t>
  </si>
  <si>
    <t xml:space="preserve">Quy ước đặt tên ảnh chụp</t>
  </si>
  <si>
    <t xml:space="preserve">&lt;Mã màn hình&gt;_&lt;ID mục&gt;_&lt;mô tả ngắn&gt;.png     ví dụ: A2_GUI-02-04_upload-dinh-dang-sai.png</t>
  </si>
  <si>
    <t xml:space="preserve">Lưu tất cả vào thư mục screenshots/ — mỗi ô Failed phải có ít nhất một ảnh (§6 Task 1B).</t>
  </si>
  <si>
    <t xml:space="preserve">Các sheet trong file này</t>
  </si>
  <si>
    <t xml:space="preserve">Checklist_Run  — lưới 48 mục × 3 màn hình = 144 ô cần điền. Đây là việc chính.</t>
  </si>
  <si>
    <t xml:space="preserve">Thống kê          — tự động đếm P/F/N/A theo từng màn hình và từng IA. Số liệu cho README.</t>
  </si>
  <si>
    <t xml:space="preserve">Bug_Log            — Bug &amp; Usability Findings Log theo đúng cột đề bài yêu cầu (§7).</t>
  </si>
  <si>
    <t xml:space="preserve">Giả thuyết A2   — các điểm nghi vấn rút từ mã nguồn trang A2. CHƯA phải kết quả.</t>
  </si>
  <si>
    <t xml:space="preserve">CẢNH BÁO</t>
  </si>
  <si>
    <t xml:space="preserve">Sheet "Giả thuyết A2" chỉ là gợi ý chỗ cần soi kỹ, KHÔNG phải kết quả kiểm thử.</t>
  </si>
  <si>
    <t xml:space="preserve">Đề bài §12 quy định bằng chứng thực thi không được AI sinh hay bịa. Mọi dòng trong</t>
  </si>
  <si>
    <t xml:space="preserve">Checklist_Run và Bug_Log phải do bạn tự thao tác trên EMS thật và tự chụp ảnh.</t>
  </si>
  <si>
    <t xml:space="preserve">ID</t>
  </si>
  <si>
    <t xml:space="preserve">IA</t>
  </si>
  <si>
    <t xml:space="preserve">Mục kiểm tra</t>
  </si>
  <si>
    <t xml:space="preserve">Cách kiểm chứng</t>
  </si>
  <si>
    <t xml:space="preserve">Nguồn</t>
  </si>
  <si>
    <t xml:space="preserve">Ưu tiên</t>
  </si>
  <si>
    <t xml:space="preserve">A1</t>
  </si>
  <si>
    <t xml:space="preserve">Ghi chú A1</t>
  </si>
  <si>
    <t xml:space="preserve">A2</t>
  </si>
  <si>
    <t xml:space="preserve">Ghi chú A2</t>
  </si>
  <si>
    <t xml:space="preserve">A4</t>
  </si>
  <si>
    <t xml:space="preserve">Ghi chú A4</t>
  </si>
  <si>
    <t xml:space="preserve">GUI-01-01</t>
  </si>
  <si>
    <t xml:space="preserve">IA-01</t>
  </si>
  <si>
    <t xml:space="preserve">Layout, canh lề, typography và bảng màu nhất quán giữa các màn hình cùng loại (list, form, chi tiết)</t>
  </si>
  <si>
    <t xml:space="preserve">Mở lần lượt vài màn hình cùng loại ở cả bốn nhóm A–D, so vị trí tiêu đề, khoảng cách, cỡ/kiểu chữ và màu</t>
  </si>
  <si>
    <t xml:space="preserve">Norman – Consistency; Nielsen #4</t>
  </si>
  <si>
    <t xml:space="preserve">Cao</t>
  </si>
  <si>
    <t xml:space="preserve">P</t>
  </si>
  <si>
    <t xml:space="preserve">GUI-01-02</t>
  </si>
  <si>
    <t xml:space="preserve">Thuật ngữ, nhãn và thông báo dùng ngôn ngữ quen thuộc với người tổ chức/người tham dự sự kiện; không hiển thị tên trường cơ sở dữ liệu, mã trạng thái nội bộ hoặc thuật ngữ kỹ thuật khi không có giải thích</t>
  </si>
  <si>
    <t xml:space="preserve">Rà tiêu đề, nhãn nút, badge, thông báo và dialog trên các màn hình; đặc biệt kiểm tra lỗi API, vai trò và trạng thái sự kiện/yêu cầu hỗ trợ</t>
  </si>
  <si>
    <t xml:space="preserve">Nielsen #2 – Match between system and the real world; Norman – Mapping</t>
  </si>
  <si>
    <t xml:space="preserve">GUI-01-03</t>
  </si>
  <si>
    <t xml:space="preserve">Mỗi màn hình có thứ bậc thị giác rõ: tiêu đề, nội dung chính và hành động chính nổi bật; hành động phụ/phá huỷ không cạnh tranh với hành động chính; thông tin không liên quan hoặc lặp lại được lược bỏ</t>
  </si>
  <si>
    <t xml:space="preserve">Quan sát màn hình ở kích thước desktop và mobile; xác định trong 5 giây mục đích trang và hành động chính, rồi kiểm tra các nội dung/nút trùng lặp hoặc gây nhiễu</t>
  </si>
  <si>
    <t xml:space="preserve">Nielsen #8 – Aesthetic and minimalist design; Shneiderman #8 – Reduce short-term memory load</t>
  </si>
  <si>
    <t xml:space="preserve">GUI-01-04</t>
  </si>
  <si>
    <t xml:space="preserve">Thành phần tương tác thể hiện đúng khả năng sử dụng: nút, liên kết, vùng kéo-thả và hàng có thể mở chi tiết nhìn ra là có thể thao tác; nội dung tĩnh không tạo cảm giác có thể bấm; trạng thái disabled khác biệt rõ với trạng thái bình thường</t>
  </si>
  <si>
    <t xml:space="preserve">Quan sát mà chưa bấm để dự đoán thành phần nào tương tác được, sau đó dùng chuột/bàn phím kiểm chứng; kiểm tra các nút disabled, vùng upload và hàng trong bảng</t>
  </si>
  <si>
    <t xml:space="preserve">Norman – Affordance, Visibility; Nielsen #6 – Recognition rather than recall</t>
  </si>
  <si>
    <t xml:space="preserve">GUI-01-05</t>
  </si>
  <si>
    <t xml:space="preserve">Icon dùng cùng một ý nghĩa và cùng một hình dạng ở mọi nơi xuất hiện (icon xoá, sửa, export, thông báo… không đổi hình giữa các màn hình)</t>
  </si>
  <si>
    <t xml:space="preserve">Liệt kê các icon lặp lại trên Events, Users, Support Requests, Dashboard; đối chiếu hình dạng và hành động gắn với từng icon</t>
  </si>
  <si>
    <t xml:space="preserve">Nielsen #4; Norman – Signifiers</t>
  </si>
  <si>
    <t xml:space="preserve">Trung bình</t>
  </si>
  <si>
    <t xml:space="preserve">GUI-01-06</t>
  </si>
  <si>
    <t xml:space="preserve">Cùng một dữ liệu nghiệp vụ được trình bày nhất quán về tên gọi, đơn vị, thứ tự, biểu tượng **và** định dạng ngày/giờ/số (dấu phân cách nghìn/thập phân, 12h/24h) giữa danh sách, trang chi tiết, form và file export</t>
  </si>
  <si>
    <t xml:space="preserve">Chọn một Event/User/Support Request, đối chiếu cùng dữ liệu ở danh sách, chi tiết, form chỉnh sửa và file export; đặc biệt so sánh cùng một mốc thời gian hoặc con số (VD: thời gian sự kiện, số người đăng ký) hiển thị ở list, detail, vé QR và file Excel; ghi nhận mọi chỗ đổi tên, đổi đơn vị hoặc mâu thuẫn giá trị/định dạng</t>
  </si>
  <si>
    <t xml:space="preserve">Nielsen #4 – Consistency and standards; Norman – Consistency, Mapping</t>
  </si>
  <si>
    <t xml:space="preserve">GUI-01-07</t>
  </si>
  <si>
    <t xml:space="preserve">Khi đổi EN ↔ VI, toàn bộ nhãn, thông báo lỗi và trạng thái đều được dịch, không tràn/vỡ layout, thuộc tính `lang` đổi theo, và ngày giờ/số được định dạng theo locale đang chọn một cách nhất quán trên mọi màn hình</t>
  </si>
  <si>
    <t xml:space="preserve">Chuyển ngôn ngữ trên nhiều màn hình, rà chuỗi còn sót, kiểm tra tràn chữ và `lang`; đối chiếu cùng một mốc thời gian sự kiện hiển thị ở danh sách, trang chi tiết, vé và audit log ở cả hai ngôn ngữ</t>
  </si>
  <si>
    <t xml:space="preserve">Nielsen #2; WCAG 3.1.2</t>
  </si>
  <si>
    <t xml:space="preserve">GUI-01-08</t>
  </si>
  <si>
    <t xml:space="preserve">Trạng thái rỗng và trạng thái đang tải hiển thị thông báo/placeholder có ý nghĩa (kèm gợi ý hành động), không để vùng trắng trơn</t>
  </si>
  <si>
    <t xml:space="preserve">Lọc/tìm ra tập rỗng hoặc mở màn hình sau khi dữ liệu reset; tải chậm để quan sát loading</t>
  </si>
  <si>
    <t xml:space="preserve">Nielsen #1</t>
  </si>
  <si>
    <t xml:space="preserve">GUI-01-09</t>
  </si>
  <si>
    <t xml:space="preserve">Mật độ thông tin và khoảng trắng hợp lý trên các màn hình nhiều dữ liệu (KPI Dashboard, bảng danh sách, panel cấu hình) — không chồng chữ, không chật đến mức khó phân biệt hàng/cột</t>
  </si>
  <si>
    <t xml:space="preserve">Mở Dashboard và các bảng danh sách ở độ phân giải desktop chuẩn, kiểm tra khoảng cách dòng, cột, thẻ KPI có bị dính vào nhau không</t>
  </si>
  <si>
    <t xml:space="preserve">Nielsen #8 (Aesthetic and minimalist design)</t>
  </si>
  <si>
    <t xml:space="preserve">GUI-01-10</t>
  </si>
  <si>
    <t xml:space="preserve">Ở bề rộng màn hình hẹp (≈320–480 px), nội dung tự sắp xếp lại mà không phải cuộn ngang, bảng danh sách vẫn đọc được đủ thông tin, dialog nằm gọn trong khung nhìn và đóng được, mọi vùng chạm đạt kích thước tối thiểu</t>
  </si>
  <si>
    <t xml:space="preserve">Thu cửa sổ về 320 px hoặc dùng chế độ thiết bị di động trên các danh sách Events/Users/Support, form Add/Edit Event và một dialog xác nhận; kiểm tra cuộn ngang, cách bảng thu gọn, nút đóng dialog và kích thước vùng chạm</t>
  </si>
  <si>
    <t xml:space="preserve">WCAG 1.4.10; WCAG 2.5.5</t>
  </si>
  <si>
    <t xml:space="preserve">F</t>
  </si>
  <si>
    <t xml:space="preserve">Table từ đầu đã quá dài nên các cột càng về sau phải cuộn ngang mới thấy được dù mang hình có kích thước lớn thế nào</t>
  </si>
  <si>
    <t xml:space="preserve">N/A</t>
  </si>
  <si>
    <t xml:space="preserve">Các cột trong table cột không thu gọn nên phải cuộn ngang</t>
  </si>
  <si>
    <t xml:space="preserve">GUI-01-11</t>
  </si>
  <si>
    <t xml:space="preserve">Văn bản và thành phần giao diện đạt tỷ lệ tương phản tối thiểu so với nền, thứ tự heading đi liền mạch không nhảy cấp, và mọi nút chỉ có icon đều có tên trợ năng mô tả hành động</t>
  </si>
  <si>
    <t xml:space="preserve">Dùng công cụ đo tương phản trên nhãn, badge, chữ trên nền màu; rà cây heading của vài trang bằng trình kiểm tra phần tử; kiểm tra từng nút icon (xoá, sửa, đóng lightbox, chuyển ngôn ngữ) xem có nhãn văn bản</t>
  </si>
  <si>
    <t xml:space="preserve">WCAG 1.4.3; WCAG 1.3.1; WCAG 4.1.2</t>
  </si>
  <si>
    <t xml:space="preserve">Fail 2/3 vế. (1) Tương phản: Lighthouse Accessibility báo 'Background and foreground colors do not have a sufficient contrast ratio'. (3) Nút icon: 2 nút phân trang ‹ và › không có aria-label, trình đọc màn hình đọc là 'button'. (2) Thứ tự heading: đạt, không bị báo lỗi. Điểm Lighthouse Accessibility: 88.</t>
  </si>
  <si>
    <t xml:space="preserve">Fail 2/3 vế. (1) Tương phản: Lighthouse báo lỗi contrast. (3) Nút icon: Lighthouse báo 'Buttons do not have an accessible name'. (2) Thứ tự heading: đạt. Điểm Lighthouse Accessibility: 77 — thấp nhất trong 3 màn hình do form nhiều điều khiển.</t>
  </si>
  <si>
    <t xml:space="preserve">Fail 2/3 vế. (1) Tương phản: Lighthouse báo lỗi contrast. (2) Thứ tự heading: Lighthouse báo 'Heading elements are not in a sequentially-descending order' — đây là màn hình DUY NHẤT fail vế heading. (3) Nút icon: đạt, không bị báo. Điểm Lighthouse: 87.</t>
  </si>
  <si>
    <t xml:space="preserve">GUI-01-12</t>
  </si>
  <si>
    <t xml:space="preserve">Tiêu đề tab trình duyệt, favicon và logo hiển thị đúng, nhất quán trên mọi màn hình, tiêu đề tab phản ánh đúng ngữ cảnh đang xem</t>
  </si>
  <si>
    <t xml:space="preserve">Chuyển qua các màn hình khác nhau (Dashboard, Event detail, Support detail…), quan sát tiêu đề tab trình duyệt có đổi theo nội dung không</t>
  </si>
  <si>
    <t xml:space="preserve">Nielsen #1; Shneiderman #1</t>
  </si>
  <si>
    <t xml:space="preserve">Thấp</t>
  </si>
  <si>
    <t xml:space="preserve">GUI-02-01</t>
  </si>
  <si>
    <t xml:space="preserve">IA-02</t>
  </si>
  <si>
    <t xml:space="preserve">Mọi trường bắt buộc được đánh dấu nhất quán bằng một quy ước duy nhất, và quy ước đó được giải thích</t>
  </si>
  <si>
    <t xml:space="preserve">Rà toàn bộ trường trên nhiều form (Add/Edit Event, đăng ký, support), đối chiếu ký hiệu trường bắt buộc</t>
  </si>
  <si>
    <t xml:space="preserve">Nielsen #4</t>
  </si>
  <si>
    <t xml:space="preserve">GUI-02-02</t>
  </si>
  <si>
    <t xml:space="preserve">Mọi input có nhãn nhìn thấy được và liên kết chương trình với trường (`&lt;label for&gt;` ↔ `id` duy nhất)</t>
  </si>
  <si>
    <t xml:space="preserve">Dùng trình kiểm tra phần tử/đọc màn hình trên vài form, xác nhận từng input có label gắn đúng và id không trùng</t>
  </si>
  <si>
    <t xml:space="preserve">WCAG 1.3.1; Nielsen #6</t>
  </si>
  <si>
    <t xml:space="preserve">Lighthouse báo 'Form elements do not have associated labels'. Ngoài ra khảo sát DOM cho thấy 6 ô ngày giờ (Start, End, Check-in Open/Close, Registration Open/Close) dùng CHUNG một id 'datetime-iso-input' — vi phạm trực tiếp yêu cầu id duy nhất; và cả 6 dùng chung aria-label 'Select date and time' nên không phân biệt được bằng trình đọc màn hình.</t>
  </si>
  <si>
    <t xml:space="preserve">GUI-02-03</t>
  </si>
  <si>
    <t xml:space="preserve">Lỗi validation hiện ngay cạnh trường sai, mô tả cụ thể và gợi ý cách sửa (không chỉ báo lỗi chung ở đầu form)</t>
  </si>
  <si>
    <t xml:space="preserve">Bỏ trống/nhập sai từng trường (gồm ràng buộc ngày giờ chéo), quan sát vị trí và nội dung thông báo lỗi</t>
  </si>
  <si>
    <t xml:space="preserve">Nielsen #9; Norman – Feedback</t>
  </si>
  <si>
    <t xml:space="preserve">Màn hình này không có nhập liệu</t>
  </si>
  <si>
    <t xml:space="preserve">GUI-02-04</t>
  </si>
  <si>
    <t xml:space="preserve">Upload ảnh/file kiểm soát và truyền đạt ràng buộc (tỷ lệ 4:3 &amp; 24:9, định dạng, dung lượng); từ chối file sai kèm thông báo rõ</t>
  </si>
  <si>
    <t xml:space="preserve">Thử upload ảnh sai tỷ lệ, sai định dạng, quá dung lượng ở form Event và support; đọc thông báo trả về</t>
  </si>
  <si>
    <t xml:space="preserve">Nielsen #5; Norman – Constraints</t>
  </si>
  <si>
    <t xml:space="preserve">Màn hình này không có input ảnh</t>
  </si>
  <si>
    <t xml:space="preserve">GUI-02-05</t>
  </si>
  <si>
    <t xml:space="preserve">Mọi điều khiển chọn giá trị (dropdown đơn/đa chọn, checkbox, radio, toggle, date-time picker, number input, textarea, rich-text editor, thang sao 1–5) thể hiện rõ giá trị đang chọn, thao tác được bằng bàn phím, và nạp lại đúng giá trị đã lưu khi mở lại ở chế độ Edit</t>
  </si>
  <si>
    <t xml:space="preserve">Trên form Add/Edit Event, cấu hình đăng ký, form đăng ký và form đánh giá: đặt giá trị cho từng loại điều khiển bằng chuột rồi bằng bàn phím, lưu, mở lại bản ghi và đối chiếu giá trị hiển thị</t>
  </si>
  <si>
    <t xml:space="preserve">Norman – Visibility; WCAG 2.1.1; Nielsen #6</t>
  </si>
  <si>
    <t xml:space="preserve">GUI-02-06</t>
  </si>
  <si>
    <t xml:space="preserve">Định dạng, giới hạn và ví dụ nhập liệu cần thiết được hiển thị **trước khi** người dùng nhập; placeholder chỉ là ví dụ, không thay thế nhãn hoặc hướng dẫn quan trọng</t>
  </si>
  <si>
    <t xml:space="preserve">Kiểm tra các trường ngày giờ, Max Slots, Member Code, email, nội dung Rich-Text và attachment; đặt con trỏ/nhập thử để xem hướng dẫn có biến mất khiến người dùng phải nhớ hay không</t>
  </si>
  <si>
    <t xml:space="preserve">Nielsen #5 – Error prevention; Nielsen #6 – Recognition rather than recall; Norman – Visibility, Constraints</t>
  </si>
  <si>
    <t xml:space="preserve">GUI-02-07</t>
  </si>
  <si>
    <t xml:space="preserve">Giá trị mặc định giúp giảm thao tác nhưng phải an toàn và phù hợp ngữ cảnh; hệ thống không tự chọn thay người dùng đối với vai trò, đồng ý/consent, publish, block, delete hoặc lựa chọn có hậu quả lớn</t>
  </si>
  <si>
    <t xml:space="preserve">Mở form ở trạng thái tạo mới và chỉnh sửa; rà tất cả giá trị được điền/chọn sẵn, thử lưu mà không thay đổi rồi đánh giá hậu quả</t>
  </si>
  <si>
    <t xml:space="preserve">Nielsen #5 – Error prevention; Shneiderman #5 – Prevent errors; Norman – Constraints</t>
  </si>
  <si>
    <t xml:space="preserve">GUI-02-08</t>
  </si>
  <si>
    <t xml:space="preserve">Các trường phụ thuộc nhau phản ánh ràng buộc ngay khi giá trị liên quan thay đổi: lựa chọn không hợp lệ bị ngăn hoặc vô hiệu hoá và có giải thích ngắn, thay vì chờ đến lúc Submit mới báo lỗi</t>
  </si>
  <si>
    <t xml:space="preserve">Thay đổi cặp ngày bắt đầu/kết thúc, thời gian đăng ký/check-in, Max Slots/Waitlist và toggle vai trò; quan sát trường phụ thuộc, giá trị cũ và thông báo giải thích</t>
  </si>
  <si>
    <t xml:space="preserve">Nielsen #5 – Error prevention; Norman – Constraints, Mapping, Feedback</t>
  </si>
  <si>
    <t xml:space="preserve">GUI-02-09</t>
  </si>
  <si>
    <t xml:space="preserve">Khi **chủ động** rời form còn thay đổi chưa lưu bằng Back, Cancel, menu, refresh hoặc đóng tab, hệ thống cảnh báo rõ và cho phép tiếp tục chỉnh sửa; chọn ở lại không được làm mất dữ liệu đã nhập</t>
  </si>
  <si>
    <t xml:space="preserve">Sửa ít nhất hai trường nhưng chưa lưu, lần lượt thử Back, Cancel, đổi menu và refresh; kiểm tra dialog, nút "ở lại/rời đi" và nội dung form sau khi chọn ở lại</t>
  </si>
  <si>
    <t xml:space="preserve">Nielsen #3 – User control and freedom; Shneiderman #6 – Permit easy reversal of actions</t>
  </si>
  <si>
    <t xml:space="preserve">Không có nủt back nên không thể kiểm chứng</t>
  </si>
  <si>
    <t xml:space="preserve">GUI-02-10</t>
  </si>
  <si>
    <t xml:space="preserve">Toolbar rich-text editor (bold, italic, list, chèn ảnh/link) phản ánh đúng trạng thái vùng văn bản đang chọn, và nội dung định dạng được giữ nguyên sau khi lưu và tải lại</t>
  </si>
  <si>
    <t xml:space="preserve">Bôi đen từng đoạn văn bản khác nhau trong mô tả sự kiện, áp định dạng, lưu, mở lại bản ghi và đối chiếu định dạng có còn đúng không</t>
  </si>
  <si>
    <t xml:space="preserve">Norman – Feedback; Nielsen #1</t>
  </si>
  <si>
    <t xml:space="preserve">GUI-02-11</t>
  </si>
  <si>
    <t xml:space="preserve">Trường optional, trường disabled (do chưa đủ điều kiện) và trường readonly được phân biệt rõ bằng thị giác lẫn markup (`aria-disabled`, `readonly`), không chỉ đơn thuần "không bấm được"</t>
  </si>
  <si>
    <t xml:space="preserve">Rà các form có trường điều kiện (VD: vai trò phụ chỉ bật khi chọn role tương ứng), kiểm tra bằng DOM/inspector và bằng mắt xem có phân biệt được optional/disabled/readonly</t>
  </si>
  <si>
    <t xml:space="preserve">Nielsen #4; WCAG 4.1.2</t>
  </si>
  <si>
    <t xml:space="preserve">Có một số trường bắt buộc fill nhưng lại không có dấu hiệu lưu ý mà phải submit thất bại mới biết</t>
  </si>
  <si>
    <t xml:space="preserve">GUI-02-12</t>
  </si>
  <si>
    <t xml:space="preserve">Form dài (nhiều section: thumbnail, banner, rich-text, ngày giờ, registration…) được chia thành các phần có tiêu đề rõ ràng, giúp người dùng định vị đang ở phần nào khi cuộn</t>
  </si>
  <si>
    <t xml:space="preserve">Mở form Add/Edit Event, cuộn qua toàn bộ chiều dài form, kiểm tra mỗi section có heading/label phân tách rõ, không bị trộn lẫn giữa các nhóm trường khác nhau</t>
  </si>
  <si>
    <t xml:space="preserve">Nielsen #6 – Recognition rather than recall; Norman – Mapping</t>
  </si>
  <si>
    <t xml:space="preserve">GUI-02-13</t>
  </si>
  <si>
    <t xml:space="preserve">Dữ liệu đang nhập dở không bị mất khi **bị động** gặp sự cố: tải lại trang do lỗi mạng tạm thời hoặc chuyển tab rồi quay lại (autosave/draft hoặc khôi phục được nội dung)</t>
  </si>
  <si>
    <t xml:space="preserve">Nhập dở form Add/Edit Event hoặc form support request, chuyển tab/reload trong thời gian ngắn, quay lại kiểm tra dữ liệu còn hay mất</t>
  </si>
  <si>
    <t xml:space="preserve">Nielsen #5; Norman – User control</t>
  </si>
  <si>
    <t xml:space="preserve">GUI-03-01</t>
  </si>
  <si>
    <t xml:space="preserve">IA-03</t>
  </si>
  <si>
    <t xml:space="preserve">Breadcrumb/nút back/return đưa về đúng màn hình cha, và deep link tới chi tiết mở đúng đối tượng</t>
  </si>
  <si>
    <t xml:space="preserve">Đi sâu vào chi tiết (event, user, request) rồi back; mở trực tiếp một deep link và đối chiếu đối tượng</t>
  </si>
  <si>
    <t xml:space="preserve">Nielsen #3; Shneiderman #3</t>
  </si>
  <si>
    <t xml:space="preserve">Màn hình này không có nút back</t>
  </si>
  <si>
    <t xml:space="preserve">GUI-03-02</t>
  </si>
  <si>
    <t xml:space="preserve">Điều hướng bàn phím hoạt động: thứ tự tab hợp lý theo dòng đọc, viền focus nhìn thấy được, Esc đóng dialog, focus không thoát khỏi dialog đang mở</t>
  </si>
  <si>
    <t xml:space="preserve">Chỉ dùng Tab/Shift-Tab/Esc duyệt form và dialog, quan sát vòng focus và viền focus</t>
  </si>
  <si>
    <t xml:space="preserve">WCAG 2.4.7; WCAG 2.1.2; Shneiderman #3</t>
  </si>
  <si>
    <t xml:space="preserve">GUI-03-03</t>
  </si>
  <si>
    <t xml:space="preserve">Cấu trúc điều hướng (sidebar/menu/tab) đồng nhất và giữ nguyên vị trí khi chuyển giữa các khu vực, phản ánh đúng phân quyền đang đăng nhập</t>
  </si>
  <si>
    <t xml:space="preserve">Đăng nhập bằng các vai trò khác nhau, chuyển khu vực, kiểm tra menu ổn định và chỉ hiện mục được phép</t>
  </si>
  <si>
    <t xml:space="preserve">Nielsen #4; Norman – Mapping</t>
  </si>
  <si>
    <t xml:space="preserve">GUI-03-04</t>
  </si>
  <si>
    <t xml:space="preserve">Vị trí đang đứng được hiển thị rõ: mục menu/tab tương ứng được đánh dấu active và tiêu đề trang khớp nhãn menu</t>
  </si>
  <si>
    <t xml:space="preserve">Duyệt từng mục menu/tab, kiểm tra highlight active và đối chiếu tiêu đề trang với nhãn</t>
  </si>
  <si>
    <t xml:space="preserve">GUI-03-05</t>
  </si>
  <si>
    <t xml:space="preserve">Mọi danh sách/bảng hiển thị rõ tiêu chí tìm kiếm và bộ lọc đang áp dụng cùng tổng số kết quả, phân trang cho biết trang hiện tại trên tổng số trang, và bộ tiêu chí này được giữ nguyên khi quay lại từ màn hình chi tiết</t>
  </si>
  <si>
    <t xml:space="preserve">Trên các danh sách Events / Users / Support Requests: nhập từ khoá, chọn bộ lọc, sang trang 2, mở một bản ghi rồi bấm back → kiểm tra chip/nhãn tiêu chí, số kết quả, chỉ báo trang và trạng thái sau khi quay lại</t>
  </si>
  <si>
    <t xml:space="preserve">Nielsen #1; Shneiderman #3</t>
  </si>
  <si>
    <t xml:space="preserve">Màn hình này không có bộ lọc</t>
  </si>
  <si>
    <t xml:space="preserve">GUI-03-06</t>
  </si>
  <si>
    <t xml:space="preserve">Các chức năng được nhóm và đặt tên theo mục tiêu của người dùng, không theo cấu trúc kỹ thuật của hệ thống; những chức năng liên quan nằm gần nhau và các nhóm khác nhau được phân tách rõ</t>
  </si>
  <si>
    <t xml:space="preserve">Nhờ người chưa quen EMS chỉ vị trí để tạo sự kiện, đăng ký, lấy QR, quản lý user hoặc xử lý support mà không hướng dẫn; ghi nhận mục bị tìm sai hoặc nhãn gây hiểu nhầm</t>
  </si>
  <si>
    <t xml:space="preserve">Nielsen #2 – Match between system and the real world; Nielsen #6 – Recognition rather than recall; Norman – Mapping</t>
  </si>
  <si>
    <t xml:space="preserve">GUI-03-07</t>
  </si>
  <si>
    <t xml:space="preserve">Tác vụ thường xuyên có đường đi hiệu quả cho người dùng thành thạo (VD: hành động trực tiếp trên từng hàng, thao tác hàng loạt hoặc phím tắt khi phù hợp) nhưng không làm rối luồng cơ bản của người mới</t>
  </si>
  <si>
    <t xml:space="preserve">So bước để thực hiện cùng một tác vụ lặp lại trên nhiều bản ghi; kiểm tra hành động nhanh có dễ tìm, có nhãn rõ và không buộc người mới phải học phím tắt hay không</t>
  </si>
  <si>
    <t xml:space="preserve">Nielsen #7 – Flexibility and efficiency of use; Shneiderman #2 – Enable frequent users to use shortcuts</t>
  </si>
  <si>
    <t xml:space="preserve">GUI-03-08</t>
  </si>
  <si>
    <t xml:space="preserve">Màn hình từ chối truy cập (do không đủ quyền) hoặc báo tài nguyên không còn khả dụng (đã xoá/hết hạn chia sẻ/deep link vượt quyền) không trở thành "ngõ cụt": hệ thống giải thích ngắn gọn tình trạng và cung cấp đường điều hướng hợp lệ về khu vực người dùng có quyền truy cập, không buộc họ chỉ dựa vào nút Back của trình duyệt</t>
  </si>
  <si>
    <t xml:space="preserve">Đăng nhập bằng tài khoản không phải admin, dán trực tiếp URL của một trang quản trị (VD: danh sách Users) vào thanh địa chỉ; đồng thời truy cập deep link tới bản ghi đã xoá/không còn chia sẻ và dùng liên kết đã hết hiệu lực; kiểm tra thông báo cùng CTA về danh sách, dashboard hoặc khu vực an toàn phù hợp</t>
  </si>
  <si>
    <t xml:space="preserve">Nielsen #3 – User control and freedom; Nielsen #9 – Help users recognize, diagnose, and recover from errors; Norman – Mapping</t>
  </si>
  <si>
    <t xml:space="preserve">GUI-03-09</t>
  </si>
  <si>
    <t xml:space="preserve">Điều khiển tuân theo quy ước Web: liên kết dùng để chuyển trang, nút dùng để thực hiện hành động; đích mở tab/cửa sổ mới được báo trước; Back không tự gửi lại form hay lặp lại hành động đã hoàn tất</t>
  </si>
  <si>
    <t xml:space="preserve">Duyệt các liên kết, nút icon, Preview, Export và liên kết ngoài; mở đích rồi dùng Back/Forward để kiểm tra có điều hướng bất ngờ, submit lại hoặc tạo bản ghi trùng không</t>
  </si>
  <si>
    <t xml:space="preserve">Nielsen #4 – Consistency and standards; Norman – Affordance, Consistency</t>
  </si>
  <si>
    <t xml:space="preserve">Lighthouse báo 2 lỗi vi phạm quy ước điều khiển Web: 'Links do not have a discernible name' (link không có tên đọc được) và '[aria-*] attributes do not match their roles' (dùng thẻ span kèm aria-haspopup/aria-expanded thay vì button có role hợp lệ).</t>
  </si>
  <si>
    <t xml:space="preserve">GUI-03-10</t>
  </si>
  <si>
    <t xml:space="preserve">Kéo-thả sắp xếp lại (VD: thứ tự vai trò phụ trong cấu hình đăng ký) có phản hồi thị giác rõ trong lúc kéo, và thứ tự mới được giữ nguyên sau khi lưu/tải lại</t>
  </si>
  <si>
    <t xml:space="preserve">Kéo-thả để đổi thứ tự trong panel cấu hình vai trò phụ, quan sát chỉ báo vị trí thả trong lúc kéo, lưu rồi tải lại trang để đối chiếu thứ tự</t>
  </si>
  <si>
    <t xml:space="preserve">Norman – Feedback/Visibility; WCAG 2.5.1</t>
  </si>
  <si>
    <t xml:space="preserve">Màn hình này không có khả năng kéo thả file</t>
  </si>
  <si>
    <t xml:space="preserve">GUI-03-11</t>
  </si>
  <si>
    <t xml:space="preserve">Ô tìm kiếm, bộ lọc và nút sắp xếp trên các danh sách thao tác được hoàn toàn bằng bàn phím và có nhãn cho trình đọc màn hình, không chỉ dùng được bằng chuột</t>
  </si>
  <si>
    <t xml:space="preserve">Dùng Tab/Enter/phím mũi tên để nhập từ khoá tìm kiếm, mở dropdown lọc, chọn tiêu chí sắp xếp trên danh sách Events/Users/Support mà không chạm chuột</t>
  </si>
  <si>
    <t xml:space="preserve">WCAG 2.1.1; WCAG 4.1.2</t>
  </si>
  <si>
    <t xml:space="preserve">Màn hình này không có table</t>
  </si>
  <si>
    <t xml:space="preserve">GUI-03-12</t>
  </si>
  <si>
    <t xml:space="preserve">Trạng thái đóng/mở của sidebar (nếu có thể thu gọn) được giữ nguyên khi điều hướng giữa các trang trong cùng phiên làm việc</t>
  </si>
  <si>
    <t xml:space="preserve">Thu gọn sidebar, chuyển qua vài trang khác nhau trong cùng phiên đăng nhập, kiểm tra sidebar có tự bung lại không</t>
  </si>
  <si>
    <t xml:space="preserve">GUI-04-01</t>
  </si>
  <si>
    <t xml:space="preserve">IA-04</t>
  </si>
  <si>
    <t xml:space="preserve">Mọi hành động phá huỷ/khó hồi phục (xoá, chặn, reset, huỷ đăng ký) đều có dialog xác nhận nêu rõ đối tượng bị tác động</t>
  </si>
  <si>
    <t xml:space="preserve">Bấm xoá/chặn/reset/huỷ, đọc dialog xem có nêu tên đối tượng cụ thể và cho phép huỷ thao tác</t>
  </si>
  <si>
    <t xml:space="preserve">Shneiderman #6; Nielsen #3</t>
  </si>
  <si>
    <t xml:space="preserve">Màn hình này không có chức năng xóa/hủy</t>
  </si>
  <si>
    <t xml:space="preserve">GUI-04-02</t>
  </si>
  <si>
    <t xml:space="preserve">Mọi hành động của người dùng đều có phản hồi tức thời (toast/loading/đổi trạng thái) xác nhận thành công hoặc thất bại</t>
  </si>
  <si>
    <t xml:space="preserve">Thực hiện lưu/publish/đăng ký/gửi request và các thao tác dài (Export Excel, Preview), quan sát có phản hồi trong thời gian hợp lý</t>
  </si>
  <si>
    <t xml:space="preserve">Nielsen #1; Norman – Feedback; Shneiderman #3</t>
  </si>
  <si>
    <t xml:space="preserve">Thao tác xóa không hiển thông báo hay phản hồi nào về việc thực hiện thành công việc xóa event</t>
  </si>
  <si>
    <t xml:space="preserve">Thao tác lưu nháp không hiển thông báo hay phản hồi nào về việc thực hiện thành công</t>
  </si>
  <si>
    <t xml:space="preserve">Có một số thao tác không hiển thông báo hay phản hồi nào</t>
  </si>
  <si>
    <t xml:space="preserve">GUI-04-03</t>
  </si>
  <si>
    <t xml:space="preserve">Trạng thái (Draft/Published, Registered/Pending/Confirmed/Waitlisted…) được thể hiện bằng nhãn chữ kèm màu, không chỉ dựa vào màu, và cùng một trạng thái luôn dùng cùng một màu/nhãn toàn hệ thống</t>
  </si>
  <si>
    <t xml:space="preserve">Đối chiếu badge trạng thái ở các màn hình khác nhau; kiểm tra mọi badge có nhãn chữ và ánh xạ màu–trạng thái nhất quán</t>
  </si>
  <si>
    <t xml:space="preserve">WCAG 1.4.1; Norman – Consistency</t>
  </si>
  <si>
    <t xml:space="preserve">Màn hình này không có badge</t>
  </si>
  <si>
    <t xml:space="preserve">GUI-04-04</t>
  </si>
  <si>
    <t xml:space="preserve">Mọi thành phần truyền tin không bằng văn bản hoặc tự thay đổi (KPI card, progress bar, carousel, barcode/QR, lightbox ảnh, audit log, notification dot, cập nhật real-time) đều có nhãn/văn bản thay thế nêu rõ ý nghĩa và giá trị, cho phép dừng hoặc điều khiển nội dung tự chạy, và phản ánh dữ liệu mới mà không cần tải lại thủ công</t>
  </si>
  <si>
    <t xml:space="preserve">Mở dashboard, trang chủ có carousel, vé QR, lightbox ảnh trong support request và audit log: kiểm tra alt/nhãn kèm giá trị (`Đã đăng ký / tối đa`, % tiến trình, số thông báo), thử dừng carousel, tạo thay đổi ở tab khác để xem dữ liệu/chấm thông báo tự cập nhật</t>
  </si>
  <si>
    <t xml:space="preserve">WCAG 1.1.1; WCAG 2.2.2; Nielsen #1; Norman – Feedback</t>
  </si>
  <si>
    <t xml:space="preserve">Màn hình này không có carousel, lightbox,...</t>
  </si>
  <si>
    <t xml:space="preserve">GUI-04-05</t>
  </si>
  <si>
    <t xml:space="preserve">Khi mất mạng, hết phiên đăng nhập hoặc tải dữ liệu thất bại, hệ thống báo bằng ngôn ngữ người dùng đang chọn, nêu rõ cách khắc phục (thử lại / đăng nhập lại), không hiển thị mã lỗi thô, và không làm mất dữ liệu người dùng đang nhập dở</t>
  </si>
  <si>
    <t xml:space="preserve">Ngắt mạng giữa lúc lưu form nhiều section; để phiên hết hạn rồi bấm một hành động; chặn một request tải danh sách → quan sát thông báo, tuỳ chọn thử lại và nội dung form sau khi lỗi</t>
  </si>
  <si>
    <t xml:space="preserve">Nielsen #9; Shneiderman #5; Norman – Feedback</t>
  </si>
  <si>
    <t xml:space="preserve">Màn hình này không có lưu form</t>
  </si>
  <si>
    <t xml:space="preserve">GUI-04-06</t>
  </si>
  <si>
    <t xml:space="preserve">Trong lúc Submit hoặc xử lý yêu cầu, điều khiển gây hành động lặp được khoá hoặc chống gửi trùng nhưng vẫn thể hiện rõ đang xử lý; bấm nhanh nhiều lần không tạo nhiều event, đăng ký, support request hoặc phản hồi giống nhau; với các hành động có progress bar/spinner riêng (Export, Publish), progress hiển thị đúng tiến trình và nút vẫn khoá cho tới khi xử lý xong</t>
  </si>
  <si>
    <t xml:space="preserve">Làm chậm mạng rồi nhấp đúp/nhấn Enter nhiều lần vào Save, Register, Send Request và Respond; kiểm tra trạng thái nút và số bản ghi được tạo; quan sát progress bar/spinner của Export/Publish có phản ánh đúng tiến trình không</t>
  </si>
  <si>
    <t xml:space="preserve">Nielsen #5 – Error prevention; Norman – Feedback, Constraints; Shneiderman #5 – Prevent errors</t>
  </si>
  <si>
    <t xml:space="preserve">Màn hình này không có submit</t>
  </si>
  <si>
    <t xml:space="preserve">GUI-04-07</t>
  </si>
  <si>
    <t xml:space="preserve">Khi phản hồi được trình bày bằng toast/banner tạm thời, thông báo được xếp theo mức quan trọng, không che nội dung hoặc điều khiển thiết yếu, tồn tại đủ lâu để đọc, có thể đóng khi cần và không xuất hiện nhiều bản trùng cho cùng một sự kiện</t>
  </si>
  <si>
    <t xml:space="preserve">Kích hoạt nhiều toast/banner thành công, cảnh báo và lỗi liên tiếp ở viewport desktop/mobile; kiểm tra thứ tự xếp chồng, thời gian hiển thị, khả năng đóng và tiếp tục thao tác, phần nội dung bị che và số thông báo sinh ra cho một sự kiện</t>
  </si>
  <si>
    <t xml:space="preserve">Nielsen #8 – Aesthetic and minimalist design; Nielsen #3 – User control and freedom; Shneiderman #1 – Strive for consistency</t>
  </si>
  <si>
    <t xml:space="preserve">GUI-04-08</t>
  </si>
  <si>
    <t xml:space="preserve">Hành động có thể đảo ngược cung cấp Undo, Restore hoặc đường khôi phục rõ ràng trong khoảng thời gian hợp lý; dialog xác nhận không phải cơ chế bảo vệ duy nhất khi việc khôi phục khả thi</t>
  </si>
  <si>
    <t xml:space="preserve">Thử thay đổi trạng thái, bỏ duyệt, xoá nháp hoặc huỷ đăng ký; tìm Undo/Restore và xác nhận dữ liệu/trạng thái được phục hồi đúng</t>
  </si>
  <si>
    <t xml:space="preserve">Màn hình này không có khả năng Undo/Restore</t>
  </si>
  <si>
    <t xml:space="preserve">GUI-04-09</t>
  </si>
  <si>
    <t xml:space="preserve">Khi hoàn tất một quy trình nhiều bước, hệ thống tạo cảm giác kết thúc rõ ràng bằng bản tóm tắt kết quả/đối tượng, mã hoặc trạng thái mới và hành động tiếp theo phù hợp; người dùng không phải đoán quy trình đã xong hay chưa</t>
  </si>
  <si>
    <t xml:space="preserve">Hoàn tất tạo/publish event, đăng ký tham dự và gửi/giải quyết support request; kiểm tra trang hoặc dialog kết quả, định danh bản ghi, trạng thái và CTA tiếp theo</t>
  </si>
  <si>
    <t xml:space="preserve">Shneiderman #4 – Design dialogs to yield closure; Nielsen #1 – Visibility of system status; Norman – Feedback</t>
  </si>
  <si>
    <t xml:space="preserve">Không có thông báo hay dấu hiệu cho biết thao thác thành công</t>
  </si>
  <si>
    <t xml:space="preserve">GUI-04-10</t>
  </si>
  <si>
    <t xml:space="preserve">Dữ liệu cập nhật real-time (log check-in, chấm thông báo, audit log) chèn thêm mục mới mà không làm nhảy vị trí cuộn hoặc mất focus người dùng đang thao tác</t>
  </si>
  <si>
    <t xml:space="preserve">Mở tab Check-in hoặc audit log, tạo một sự kiện cập nhật từ tab/thiết bị khác, quan sát vị trí cuộn và focus hiện tại có bị xáo trộn không</t>
  </si>
  <si>
    <t xml:space="preserve">Nielsen #1; WCAG 2.2.2</t>
  </si>
  <si>
    <t xml:space="preserve">GUI-04-11</t>
  </si>
  <si>
    <t xml:space="preserve">Các lớp overlay (lightbox ảnh trong support request, vé QR, dialog xác nhận) đều đóng được nhất quán bằng Esc, click ra ngoài và nút đóng (X) — không lớp nào thiếu một trong ba cách</t>
  </si>
  <si>
    <t xml:space="preserve">Mở lần lượt lightbox ảnh, vé QR/barcode, dialog xác nhận; thử đóng bằng cả ba cách trên từng overlay</t>
  </si>
  <si>
    <t xml:space="preserve">Shneiderman #3 (Consistency); liên hệ GUI-03-02</t>
  </si>
  <si>
    <t xml:space="preserve">Thống kê tự động — số liệu điền vào README</t>
  </si>
  <si>
    <t xml:space="preserve">Mọi ô đều là công thức, tự cập nhật khi bạn điền Checklist_Run.</t>
  </si>
  <si>
    <t xml:space="preserve">Màn hình</t>
  </si>
  <si>
    <t xml:space="preserve">Passed</t>
  </si>
  <si>
    <t xml:space="preserve">Failed</t>
  </si>
  <si>
    <t xml:space="preserve">Chưa điền</t>
  </si>
  <si>
    <t xml:space="preserve">Tổng mục</t>
  </si>
  <si>
    <t xml:space="preserve">A1 — Danh sách Events</t>
  </si>
  <si>
    <t xml:space="preserve">A2 — Form Add/Edit Event</t>
  </si>
  <si>
    <t xml:space="preserve">A4 — Participants &amp; Reviews</t>
  </si>
  <si>
    <t xml:space="preserve">TỔNG (144 ô)</t>
  </si>
  <si>
    <t xml:space="preserve">Số mục Failed theo từng IA (gộp cả ba màn hình)</t>
  </si>
  <si>
    <t xml:space="preserve">Tổng Failed</t>
  </si>
  <si>
    <t xml:space="preserve">Tổng số ô Failed</t>
  </si>
  <si>
    <t xml:space="preserve">Kịch bản / Màn hình</t>
  </si>
  <si>
    <t xml:space="preserve">Loại</t>
  </si>
  <si>
    <t xml:space="preserve">Mô tả</t>
  </si>
  <si>
    <t xml:space="preserve">Bước tái hiện / Heuristic</t>
  </si>
  <si>
    <t xml:space="preserve">Mức nghiêm trọng</t>
  </si>
  <si>
    <t xml:space="preserve">Đề xuất sửa</t>
  </si>
  <si>
    <t xml:space="preserve">Tham chiếu ảnh</t>
  </si>
  <si>
    <t xml:space="preserve">Thời điểm gửi form</t>
  </si>
  <si>
    <t xml:space="preserve">ID mục checklist</t>
  </si>
  <si>
    <t xml:space="preserve">A1 - Danh sách Events</t>
  </si>
  <si>
    <t xml:space="preserve">Bug</t>
  </si>
  <si>
    <t xml:space="preserve">Hai nút phân trang trang trước (‹) và trang sau (›) chỉ có icon, không có aria-label hay text. Trình đọc màn hình đọc cả hai là "button", không phân biệt được nút nào tiến, nút nào lùi.</t>
  </si>
  <si>
    <t xml:space="preserve">Mở /dashboard/admin/events → F12 → Lighthouse → Accessibility → mục "Buttons do not have an accessible name". Heuristic: WCAG 4.1.2 (Name, Role, Value); Nielsen #6.</t>
  </si>
  <si>
    <t xml:space="preserve">2 - Nhỏ</t>
  </si>
  <si>
    <t xml:space="preserve">Thêm aria-label="Trang trước" và aria-label="Trang sau" cho hai nút phân trang.</t>
  </si>
  <si>
    <t xml:space="preserve">A1_GUI-01-11_pagination-no-name.png</t>
  </si>
  <si>
    <t xml:space="preserve">Chưa gửi</t>
  </si>
  <si>
    <t xml:space="preserve">Nút mở menu tài khoản (avatar TLA, góc trên bên phải) dùng thẻ &lt;span&gt; không có role, nhưng lại gắn aria-haspopup="true" và aria-expanded="false". Các thuộc tính ARIA này không hợp lệ trên role ngầm định của span nên bị vô hiệu hoá. Thuộc tính type="button" trên span cũng không có tác dụng.</t>
  </si>
  <si>
    <t xml:space="preserve">Mở /dashboard/admin/events → Lighthouse → Accessibility → mục "[aria-*] attributes do not match their roles" → bung Failing Elements. Heuristic: WCAG 4.1.2; Nielsen #4.</t>
  </si>
  <si>
    <t xml:space="preserve">Đổi &lt;span&gt; thành &lt;button&gt;, hoặc thêm role="button" kèm aria-label="Menu tài khoản".</t>
  </si>
  <si>
    <t xml:space="preserve">A1_ARIA_avatar-span-no-role.png</t>
  </si>
  <si>
    <t xml:space="preserve">Khác</t>
  </si>
  <si>
    <t xml:space="preserve">Usability</t>
  </si>
  <si>
    <t xml:space="preserve">Nhiều cặp màu chữ/nền trên toàn hệ thống không đạt tỉ lệ tương phản tối thiểu 4.5:1: badge trạng thái nền nhạt (Giới hạn, Không công khai, Sắp tới, Đã xuất bản), tiêu đề cột bảng, placeholder ô tìm kiếm. Lỗi lặp lại trên CẢ BA màn hình A1, A2 và A4 → là vấn đề ở tầng bảng màu dùng chung, không phải lỗi cục bộ.</t>
  </si>
  <si>
    <t xml:space="preserve">Chạy Lighthouse Accessibility lần lượt trên /events, /events/create và trang chi tiết sự kiện → mục "Background and foreground colors do not have a sufficient contrast ratio" xuất hiện ở cả ba. Heuristic: WCAG 1.4.3.</t>
  </si>
  <si>
    <t xml:space="preserve">Rà lại bảng màu ở tầng design system: tăng độ đậm màu chữ trên nền tint nhạt của badge; đổi màu placeholder và tiêu đề cột sang tông đậm hơn.</t>
  </si>
  <si>
    <t xml:space="preserve">A1_GUI-01-11_contrast-lighthouse.png, A2_contrast-lighthouse.png, A4_contrast-lighthouse.png</t>
  </si>
  <si>
    <t xml:space="preserve">A2 - Form Add/Edit Event</t>
  </si>
  <si>
    <t xml:space="preserve">Các trường nhập trên form Tạo sự kiện không có nhãn liên kết chương trình. Nghiêm trọng nhất: sáu ô ngày giờ (Bắt đầu, Kết thúc, Mở/Đóng check-in, Mở/Đóng đăng ký) dùng CHUNG một id "datetime-iso-input" — id trùng là HTML không hợp lệ và phá liên kết label↔input; đồng thời cả sáu dùng chung aria-label "Select date and time" nên trình đọc màn hình không phân biệt được ô nào là ô nào.</t>
  </si>
  <si>
    <t xml:space="preserve">Mở /dashboard/admin/events/create → Lighthouse → "Form elements do not have associated labels". Kiểm chứng id trùng bằng Console: document.querySelectorAll("#datetime-iso-input").length → trả về 6. Heuristic: WCAG 1.3.1; WCAG 4.1.2.</t>
  </si>
  <si>
    <t xml:space="preserve">3 - Lớn</t>
  </si>
  <si>
    <t xml:space="preserve">Cấp id duy nhất cho từng ô ngày giờ và gắn &lt;label for&gt; tương ứng; đặt aria-label riêng mô tả đúng vai trò từng mốc thời gian.</t>
  </si>
  <si>
    <t xml:space="preserve">A2_GUI-02-02_form-no-label.png, A2_GUI-02-02_duplicate-id-console.png</t>
  </si>
  <si>
    <t xml:space="preserve">Có phần tử liên kết không có tên đọc được (link rỗng hoặc chỉ chứa icon). Xuất hiện trên cả màn hình A2 và trang chi tiết sự kiện A4.</t>
  </si>
  <si>
    <t xml:space="preserve">Chạy Lighthouse Accessibility trên /events/create và trang chi tiết sự kiện → mục "Links do not have a discernible name" → bung Failing Elements để xem phần tử cụ thể. Heuristic: WCAG 2.4.4; WCAG 4.1.2.</t>
  </si>
  <si>
    <t xml:space="preserve">Thêm text ẩn hoặc aria-label mô tả đích đến cho các liên kết chỉ có icon.</t>
  </si>
  <si>
    <t xml:space="preserve">A2_links-no-name.png, A4_links-no-name.png</t>
  </si>
  <si>
    <t xml:space="preserve">A4 - Participants &amp; Reviews</t>
  </si>
  <si>
    <t xml:space="preserve">Thứ tự thẻ heading trên trang không đi liền mạch mà nhảy cấp (ví dụ h1 → h3). Người dùng trình đọc màn hình điều hướng theo cấu trúc heading sẽ hiểu sai phân cấp nội dung. Đây là màn hình duy nhất trong ba màn hình khảo sát bị lỗi này.</t>
  </si>
  <si>
    <t xml:space="preserve">Mở trang chi tiết sự kiện → Lighthouse → mục "Heading elements are not in a sequentially-descending order". Kiểm chứng bằng Console: $$("h1,h2,h3,h4,h5,h6").map(h=&gt;h.tagName). Heuristic: WCAG 1.3.1.</t>
  </si>
  <si>
    <t xml:space="preserve">Sắp lại cấp heading cho liền mạch; không dùng thẻ heading để chỉnh cỡ chữ.</t>
  </si>
  <si>
    <t xml:space="preserve">A4_heading-order.png</t>
  </si>
  <si>
    <t xml:space="preserve">Bảng danh sách sự kiện quá rộng nên các cột phía sau chỉ xem được bằng cách cuộn ngang, kể cả trên màn hình desktop lớn. Khi cuộn sang phải, cột tên sự kiện trượt mất khỏi khung nhìn nên người dùng không còn biết dòng đang xem thuộc sự kiện nào.</t>
  </si>
  <si>
    <t xml:space="preserve">Mở /dashboard/admin/events trên màn hình desktop → cuộn thanh ngang của bảng sang phải → quan sát cột SỰ KIỆN biến mất, chỉ còn mẩu chữ bị cắt ở mép trái. Heuristic: Nielsen #6 (Recognition rather than recall); WCAG 1.4.10.</t>
  </si>
  <si>
    <t xml:space="preserve">Ghim cố định cột tên sự kiện khi cuộn ngang; hoặc giảm số cột mặc định và cho phép người dùng tự chọn cột hiển thị.</t>
  </si>
  <si>
    <t xml:space="preserve">A1_GUI-01-10_horizontal-scroll-lost-column.png</t>
  </si>
  <si>
    <t xml:space="preserve">Một số trường bắt buộc không có dấu hiệu nhận biết nào trên giao diện. Người dùng chỉ phát hiện ra khi bấm Submit và bị từ chối — lỗi được phát hiện sau khi mắc phải thay vì được ngăn chặn từ đầu.</t>
  </si>
  <si>
    <t xml:space="preserve">Mở /dashboard/admin/events/create → rà toàn bộ trường, ghi nhận trường nào có dấu * và trường nào không → điền form bỏ trống các trường không đánh dấu → bấm Publish → quan sát trường nào bị báo lỗi dù trước đó không hề được đánh dấu bắt buộc. Heuristic: Nielsen #5 (Error prevention); Nielsen #4 (Consistency).</t>
  </si>
  <si>
    <t xml:space="preserve">Đánh dấu nhất quán mọi trường bắt buộc bằng một quy ước duy nhất và giải thích quy ước đó ở đầu form.</t>
  </si>
  <si>
    <t xml:space="preserve">A2_GUI-02-11_required-not-marked.png</t>
  </si>
  <si>
    <t xml:space="preserve">Nhiều thao tác quan trọng hoàn tất mà không có bất kỳ phản hồi nào: xoá sự kiện (A1), lưu nháp (A2), và một số thao tác trên A4. Người dùng không biết thao tác đã thành công hay thất bại, dễ bấm lại lần nữa gây trùng lặp.</t>
  </si>
  <si>
    <t xml:space="preserve">A1: chọn một sự kiện → bấm nút xoá → xác nhận → quan sát không có toast/thông báo nào. A2: điền form → bấm Save as Draft → quan sát không có phản hồi. Heuristic: Nielsen #1 (Visibility of system status); Norman – Feedback; Shneiderman #3.</t>
  </si>
  <si>
    <t xml:space="preserve">Hiển thị toast xác nhận kết quả cho mọi thao tác ghi dữ liệu, nêu rõ thành công hay thất bại và tên đối tượng bị tác động.</t>
  </si>
  <si>
    <t xml:space="preserve">A1_GUI-04-02_delete-no-feedback.png, A2_GUI-04-02_savedraft-no-feedback.png</t>
  </si>
  <si>
    <t xml:space="preserve">Hệ thống không cung cấp Undo hay Restore cho bất kỳ thao tác nào trên cả ba màn hình. Dialog xác nhận là cơ chế bảo vệ duy nhất — một khi đã xác nhận xoá, người dùng không có đường khôi phục.</t>
  </si>
  <si>
    <t xml:space="preserve">Thực hiện xoá một sự kiện hoặc huỷ một thao tác trên A1, A2, A4 → tìm nút Undo, Restore, thùng rác hoặc lịch sử khôi phục → không tìm thấy ở màn hình nào. Heuristic: Nielsen #3 (User control and freedom); Shneiderman #6 (Permit easy reversal of actions).</t>
  </si>
  <si>
    <t xml:space="preserve">Bổ sung Undo dạng toast trong khoảng 5–10 giây sau thao tác xoá, hoặc thùng rác lưu bản ghi đã xoá trong một khoảng thời gian.</t>
  </si>
  <si>
    <t xml:space="preserve">A1_GUI-04-08_no-undo.png</t>
  </si>
  <si>
    <t xml:space="preserve">Sau khi hoàn tất một quy trình nhiều bước, hệ thống không tạo cảm giác kết thúc: không có bản tóm tắt kết quả, không nêu trạng thái mới, không gợi ý hành động tiếp theo. Người dùng phải tự kiểm tra lại để biết quy trình đã xong hay chưa.</t>
  </si>
  <si>
    <t xml:space="preserve">Hoàn tất tạo và phát hành một sự kiện trên A2 → quan sát sau khi bấm Publish có trang/dialog tổng kết nào không → không có. Lặp lại với thao tác trên A1 và A4. Heuristic: Shneiderman #4 (Design dialogs to yield closure); Nielsen #1.</t>
  </si>
  <si>
    <t xml:space="preserve">Sau khi hoàn tất quy trình, hiển thị màn hình hoặc dialog tổng kết nêu tên đối tượng, trạng thái mới và các hành động tiếp theo phù hợp.</t>
  </si>
  <si>
    <t xml:space="preserve">A2_GUI-04-09_no-closure.png</t>
  </si>
  <si>
    <t xml:space="preserve">Thang mức nghiêm trọng theo Nielsen (0–4). ID tự sinh khi bạn điền cột Mô tả.</t>
  </si>
  <si>
    <t xml:space="preserve">Mỗi dòng ở đây phải có một submission tương ứng trên Google Form — TA đối chiếu số lượng (§7).</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</si>
</sst>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rgb="FF595959"/>
      <name val="Arial"/>
      <family val="0"/>
      <charset val="1"/>
    </font>
    <font>
      <b val="true"/>
      <sz val="12"/>
      <color rgb="FF1F3864"/>
      <name val="Arial"/>
      <family val="0"/>
      <charset val="1"/>
    </font>
    <font>
      <sz val="10"/>
      <name val="Arial"/>
      <family val="0"/>
      <charset val="1"/>
    </font>
    <font>
      <sz val="10"/>
      <color rgb="FFC00000"/>
      <name val="Arial"/>
      <family val="0"/>
      <charset val="1"/>
    </font>
    <font>
      <b val="true"/>
      <sz val="10"/>
      <color rgb="FFFFFFFF"/>
      <name val="Arial"/>
      <family val="0"/>
      <charset val="1"/>
    </font>
    <font>
      <b val="true"/>
      <sz val="14"/>
      <color rgb="FF1F3864"/>
      <name val="Arial"/>
      <family val="0"/>
      <charset val="1"/>
    </font>
    <font>
      <sz val="10"/>
      <color rgb="FF595959"/>
      <name val="Arial"/>
      <family val="0"/>
      <charset val="1"/>
    </font>
    <font>
      <b val="true"/>
      <sz val="10"/>
      <name val="Arial"/>
      <family val="0"/>
      <charset val="1"/>
    </font>
    <font>
      <i val="true"/>
      <sz val="9"/>
      <color rgb="FF595959"/>
      <name val="Arial"/>
      <family val="0"/>
      <charset val="1"/>
    </font>
    <font>
      <i val="true"/>
      <sz val="9"/>
      <color rgb="FFC00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E7E6E6"/>
      </patternFill>
    </fill>
    <fill>
      <patternFill patternType="solid">
        <fgColor rgb="FFD9E2F3"/>
        <bgColor rgb="FFE7E6E6"/>
      </patternFill>
    </fill>
    <fill>
      <patternFill patternType="solid">
        <fgColor rgb="FFFFFFFF"/>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E7E6E6"/>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7F7F7F"/>
          <bgColor rgb="FF000000"/>
        </patternFill>
      </fill>
    </dxf>
    <dxf>
      <fill>
        <patternFill patternType="solid">
          <fgColor rgb="FF9C0006"/>
          <bgColor rgb="FF000000"/>
        </patternFill>
      </fill>
    </dxf>
    <dxf>
      <fill>
        <patternFill patternType="solid">
          <fgColor rgb="FFFFF2CC"/>
          <bgColor rgb="FF000000"/>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color rgb="FF7F7F7F"/>
        <sz val="10"/>
      </font>
      <fill>
        <patternFill>
          <bgColor rgb="FFE7E6E6"/>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2CC"/>
      <rgbColor rgb="FFE7E6E6"/>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8.66796875" defaultRowHeight="14.25" customHeight="false" zeroHeight="false" outlineLevelRow="0" outlineLevelCol="0"/>
  <cols>
    <col collapsed="false" customWidth="true" hidden="false" outlineLevel="0" max="1" min="1" style="0" width="140"/>
  </cols>
  <sheetData>
    <row r="1" customFormat="false" ht="21" hidden="false" customHeight="true" outlineLevel="0" collapsed="false">
      <c r="A1" s="1" t="s">
        <v>0</v>
      </c>
    </row>
    <row r="2" customFormat="false" ht="14.25" hidden="false" customHeight="false" outlineLevel="0" collapsed="false">
      <c r="A2" s="2" t="s">
        <v>1</v>
      </c>
    </row>
    <row r="4" customFormat="false" ht="15" hidden="false" customHeight="true" outlineLevel="0" collapsed="false">
      <c r="A4" s="3" t="s">
        <v>2</v>
      </c>
    </row>
    <row r="5" customFormat="false" ht="14.25" hidden="false" customHeight="false" outlineLevel="0" collapsed="false">
      <c r="A5" s="4" t="s">
        <v>3</v>
      </c>
    </row>
    <row r="6" customFormat="false" ht="14.25" hidden="false" customHeight="false" outlineLevel="0" collapsed="false">
      <c r="A6" s="4" t="s">
        <v>4</v>
      </c>
    </row>
    <row r="7" customFormat="false" ht="14.25" hidden="false" customHeight="false" outlineLevel="0" collapsed="false">
      <c r="A7" s="4" t="s">
        <v>5</v>
      </c>
    </row>
    <row r="9" customFormat="false" ht="15" hidden="false" customHeight="true" outlineLevel="0" collapsed="false">
      <c r="A9" s="3" t="s">
        <v>6</v>
      </c>
    </row>
    <row r="10" customFormat="false" ht="14.25" hidden="false" customHeight="false" outlineLevel="0" collapsed="false">
      <c r="A10" s="4" t="s">
        <v>7</v>
      </c>
    </row>
    <row r="11" customFormat="false" ht="14.25" hidden="false" customHeight="false" outlineLevel="0" collapsed="false">
      <c r="A11" s="4" t="s">
        <v>8</v>
      </c>
    </row>
    <row r="12" customFormat="false" ht="14.25" hidden="false" customHeight="false" outlineLevel="0" collapsed="false">
      <c r="A12" s="4" t="s">
        <v>9</v>
      </c>
    </row>
    <row r="13" customFormat="false" ht="14.25" hidden="false" customHeight="false" outlineLevel="0" collapsed="false">
      <c r="A13" s="4" t="s">
        <v>10</v>
      </c>
    </row>
    <row r="14" customFormat="false" ht="14.25" hidden="false" customHeight="false" outlineLevel="0" collapsed="false">
      <c r="A14" s="4" t="s">
        <v>11</v>
      </c>
    </row>
    <row r="16" customFormat="false" ht="15" hidden="false" customHeight="true" outlineLevel="0" collapsed="false">
      <c r="A16" s="3" t="s">
        <v>12</v>
      </c>
    </row>
    <row r="17" customFormat="false" ht="14.25" hidden="false" customHeight="false" outlineLevel="0" collapsed="false">
      <c r="A17" s="4" t="s">
        <v>13</v>
      </c>
    </row>
    <row r="18" customFormat="false" ht="14.25" hidden="false" customHeight="false" outlineLevel="0" collapsed="false">
      <c r="A18" s="4" t="s">
        <v>14</v>
      </c>
    </row>
    <row r="19" customFormat="false" ht="14.25" hidden="false" customHeight="false" outlineLevel="0" collapsed="false">
      <c r="A19" s="4" t="s">
        <v>15</v>
      </c>
    </row>
    <row r="21" customFormat="false" ht="15" hidden="false" customHeight="true" outlineLevel="0" collapsed="false">
      <c r="A21" s="3" t="s">
        <v>16</v>
      </c>
    </row>
    <row r="22" customFormat="false" ht="14.25" hidden="false" customHeight="false" outlineLevel="0" collapsed="false">
      <c r="A22" s="4" t="s">
        <v>17</v>
      </c>
    </row>
    <row r="23" customFormat="false" ht="14.25" hidden="false" customHeight="false" outlineLevel="0" collapsed="false">
      <c r="A23" s="4" t="s">
        <v>18</v>
      </c>
    </row>
    <row r="25" customFormat="false" ht="15" hidden="false" customHeight="true" outlineLevel="0" collapsed="false">
      <c r="A25" s="3" t="s">
        <v>19</v>
      </c>
    </row>
    <row r="26" customFormat="false" ht="14.25" hidden="false" customHeight="false" outlineLevel="0" collapsed="false">
      <c r="A26" s="4" t="s">
        <v>20</v>
      </c>
    </row>
    <row r="27" customFormat="false" ht="14.25" hidden="false" customHeight="false" outlineLevel="0" collapsed="false">
      <c r="A27" s="4" t="s">
        <v>21</v>
      </c>
    </row>
    <row r="28" customFormat="false" ht="14.25" hidden="false" customHeight="false" outlineLevel="0" collapsed="false">
      <c r="A28" s="4" t="s">
        <v>22</v>
      </c>
    </row>
    <row r="29" customFormat="false" ht="14.25" hidden="false" customHeight="false" outlineLevel="0" collapsed="false">
      <c r="A29" s="4" t="s">
        <v>23</v>
      </c>
    </row>
    <row r="31" customFormat="false" ht="15" hidden="false" customHeight="true" outlineLevel="0" collapsed="false">
      <c r="A31" s="3" t="s">
        <v>24</v>
      </c>
    </row>
    <row r="32" customFormat="false" ht="14.25" hidden="false" customHeight="false" outlineLevel="0" collapsed="false">
      <c r="A32" s="5" t="s">
        <v>25</v>
      </c>
    </row>
    <row r="33" customFormat="false" ht="14.25" hidden="false" customHeight="false" outlineLevel="0" collapsed="false">
      <c r="A33" s="5" t="s">
        <v>26</v>
      </c>
    </row>
    <row r="34" customFormat="false" ht="14.25" hidden="false" customHeight="false" outlineLevel="0" collapsed="false">
      <c r="A34" s="5"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D23" activePane="bottomRight" state="frozen"/>
      <selection pane="topLeft" activeCell="A1" activeCellId="0" sqref="A1"/>
      <selection pane="topRight" activeCell="D1" activeCellId="0" sqref="D1"/>
      <selection pane="bottomLeft" activeCell="A23" activeCellId="0" sqref="A23"/>
      <selection pane="bottomRight" activeCell="K27" activeCellId="0" sqref="K27"/>
    </sheetView>
  </sheetViews>
  <sheetFormatPr defaultColWidth="8.66796875" defaultRowHeight="14.25" customHeight="false" zeroHeight="false" outlineLevelRow="0" outlineLevelCol="0"/>
  <cols>
    <col collapsed="false" customWidth="true" hidden="false" outlineLevel="0" max="1" min="1" style="0" width="11"/>
    <col collapsed="false" customWidth="true" hidden="false" outlineLevel="0" max="2" min="2" style="0" width="7"/>
    <col collapsed="false" customWidth="true" hidden="false" outlineLevel="0" max="3" min="3" style="0" width="46"/>
    <col collapsed="false" customWidth="true" hidden="false" outlineLevel="0" max="4" min="4" style="0" width="50"/>
    <col collapsed="false" customWidth="true" hidden="false" outlineLevel="0" max="5" min="5" style="0" width="20"/>
    <col collapsed="false" customWidth="true" hidden="false" outlineLevel="0" max="6" min="6" style="0" width="9"/>
    <col collapsed="false" customWidth="true" hidden="false" outlineLevel="0" max="7" min="7" style="0" width="6"/>
    <col collapsed="false" customWidth="true" hidden="false" outlineLevel="0" max="8" min="8" style="0" width="30"/>
    <col collapsed="false" customWidth="true" hidden="false" outlineLevel="0" max="9" min="9" style="0" width="6"/>
    <col collapsed="false" customWidth="true" hidden="false" outlineLevel="0" max="10" min="10" style="0" width="30"/>
    <col collapsed="false" customWidth="true" hidden="false" outlineLevel="0" max="11" min="11" style="0" width="6"/>
    <col collapsed="false" customWidth="true" hidden="false" outlineLevel="0" max="12" min="12" style="0" width="30"/>
  </cols>
  <sheetData>
    <row r="1" customFormat="false" ht="14.25" hidden="false" customHeight="false" outlineLevel="0" collapsed="false">
      <c r="A1" s="6" t="s">
        <v>28</v>
      </c>
      <c r="B1" s="6" t="s">
        <v>29</v>
      </c>
      <c r="C1" s="6" t="s">
        <v>30</v>
      </c>
      <c r="D1" s="6" t="s">
        <v>31</v>
      </c>
      <c r="E1" s="6" t="s">
        <v>32</v>
      </c>
      <c r="F1" s="6" t="s">
        <v>33</v>
      </c>
      <c r="G1" s="6" t="s">
        <v>34</v>
      </c>
      <c r="H1" s="6" t="s">
        <v>35</v>
      </c>
      <c r="I1" s="6" t="s">
        <v>36</v>
      </c>
      <c r="J1" s="6" t="s">
        <v>37</v>
      </c>
      <c r="K1" s="6" t="s">
        <v>38</v>
      </c>
      <c r="L1" s="6" t="s">
        <v>39</v>
      </c>
    </row>
    <row r="2" customFormat="false" ht="42" hidden="false" customHeight="true" outlineLevel="0" collapsed="false">
      <c r="A2" s="7" t="s">
        <v>40</v>
      </c>
      <c r="B2" s="7" t="s">
        <v>41</v>
      </c>
      <c r="C2" s="8" t="s">
        <v>42</v>
      </c>
      <c r="D2" s="8" t="s">
        <v>43</v>
      </c>
      <c r="E2" s="8" t="s">
        <v>44</v>
      </c>
      <c r="F2" s="7" t="s">
        <v>45</v>
      </c>
      <c r="G2" s="9" t="s">
        <v>46</v>
      </c>
      <c r="H2" s="10"/>
      <c r="I2" s="9" t="s">
        <v>46</v>
      </c>
      <c r="J2" s="10"/>
      <c r="K2" s="9" t="s">
        <v>46</v>
      </c>
      <c r="L2" s="10"/>
    </row>
    <row r="3" customFormat="false" ht="42" hidden="false" customHeight="true" outlineLevel="0" collapsed="false">
      <c r="A3" s="7" t="s">
        <v>47</v>
      </c>
      <c r="B3" s="7" t="s">
        <v>41</v>
      </c>
      <c r="C3" s="8" t="s">
        <v>48</v>
      </c>
      <c r="D3" s="8" t="s">
        <v>49</v>
      </c>
      <c r="E3" s="8" t="s">
        <v>50</v>
      </c>
      <c r="F3" s="7" t="s">
        <v>45</v>
      </c>
      <c r="G3" s="9" t="s">
        <v>46</v>
      </c>
      <c r="H3" s="10"/>
      <c r="I3" s="9" t="s">
        <v>46</v>
      </c>
      <c r="J3" s="10"/>
      <c r="K3" s="9" t="s">
        <v>46</v>
      </c>
      <c r="L3" s="10"/>
    </row>
    <row r="4" customFormat="false" ht="42" hidden="false" customHeight="true" outlineLevel="0" collapsed="false">
      <c r="A4" s="7" t="s">
        <v>51</v>
      </c>
      <c r="B4" s="7" t="s">
        <v>41</v>
      </c>
      <c r="C4" s="8" t="s">
        <v>52</v>
      </c>
      <c r="D4" s="8" t="s">
        <v>53</v>
      </c>
      <c r="E4" s="8" t="s">
        <v>54</v>
      </c>
      <c r="F4" s="7" t="s">
        <v>45</v>
      </c>
      <c r="G4" s="9" t="s">
        <v>46</v>
      </c>
      <c r="H4" s="10"/>
      <c r="I4" s="9" t="s">
        <v>46</v>
      </c>
      <c r="J4" s="10"/>
      <c r="K4" s="9" t="s">
        <v>46</v>
      </c>
      <c r="L4" s="10"/>
    </row>
    <row r="5" customFormat="false" ht="66" hidden="false" customHeight="true" outlineLevel="0" collapsed="false">
      <c r="A5" s="7" t="s">
        <v>55</v>
      </c>
      <c r="B5" s="7" t="s">
        <v>41</v>
      </c>
      <c r="C5" s="8" t="s">
        <v>56</v>
      </c>
      <c r="D5" s="8" t="s">
        <v>57</v>
      </c>
      <c r="E5" s="8" t="s">
        <v>58</v>
      </c>
      <c r="F5" s="7" t="s">
        <v>45</v>
      </c>
      <c r="G5" s="9" t="s">
        <v>46</v>
      </c>
      <c r="H5" s="10"/>
      <c r="I5" s="9" t="s">
        <v>46</v>
      </c>
      <c r="J5" s="10"/>
      <c r="K5" s="9" t="s">
        <v>46</v>
      </c>
      <c r="L5" s="10"/>
    </row>
    <row r="6" customFormat="false" ht="42" hidden="false" customHeight="true" outlineLevel="0" collapsed="false">
      <c r="A6" s="7" t="s">
        <v>59</v>
      </c>
      <c r="B6" s="7" t="s">
        <v>41</v>
      </c>
      <c r="C6" s="8" t="s">
        <v>60</v>
      </c>
      <c r="D6" s="8" t="s">
        <v>61</v>
      </c>
      <c r="E6" s="8" t="s">
        <v>62</v>
      </c>
      <c r="F6" s="7" t="s">
        <v>63</v>
      </c>
      <c r="G6" s="9" t="s">
        <v>46</v>
      </c>
      <c r="H6" s="10"/>
      <c r="I6" s="9" t="s">
        <v>46</v>
      </c>
      <c r="J6" s="10"/>
      <c r="K6" s="9" t="s">
        <v>46</v>
      </c>
      <c r="L6" s="10"/>
    </row>
    <row r="7" customFormat="false" ht="78.75" hidden="false" customHeight="true" outlineLevel="0" collapsed="false">
      <c r="A7" s="7" t="s">
        <v>64</v>
      </c>
      <c r="B7" s="7" t="s">
        <v>41</v>
      </c>
      <c r="C7" s="8" t="s">
        <v>65</v>
      </c>
      <c r="D7" s="8" t="s">
        <v>66</v>
      </c>
      <c r="E7" s="8" t="s">
        <v>67</v>
      </c>
      <c r="F7" s="7" t="s">
        <v>45</v>
      </c>
      <c r="G7" s="9" t="s">
        <v>46</v>
      </c>
      <c r="H7" s="10"/>
      <c r="I7" s="9" t="s">
        <v>46</v>
      </c>
      <c r="J7" s="10"/>
      <c r="K7" s="9" t="s">
        <v>46</v>
      </c>
      <c r="L7" s="10"/>
    </row>
    <row r="8" customFormat="false" ht="66" hidden="false" customHeight="true" outlineLevel="0" collapsed="false">
      <c r="A8" s="7" t="s">
        <v>68</v>
      </c>
      <c r="B8" s="7" t="s">
        <v>41</v>
      </c>
      <c r="C8" s="8" t="s">
        <v>69</v>
      </c>
      <c r="D8" s="8" t="s">
        <v>70</v>
      </c>
      <c r="E8" s="8" t="s">
        <v>71</v>
      </c>
      <c r="F8" s="7" t="s">
        <v>45</v>
      </c>
      <c r="G8" s="9" t="s">
        <v>46</v>
      </c>
      <c r="H8" s="10"/>
      <c r="I8" s="9" t="s">
        <v>46</v>
      </c>
      <c r="J8" s="10"/>
      <c r="K8" s="9" t="s">
        <v>46</v>
      </c>
      <c r="L8" s="10"/>
    </row>
    <row r="9" customFormat="false" ht="42" hidden="false" customHeight="true" outlineLevel="0" collapsed="false">
      <c r="A9" s="7" t="s">
        <v>72</v>
      </c>
      <c r="B9" s="7" t="s">
        <v>41</v>
      </c>
      <c r="C9" s="8" t="s">
        <v>73</v>
      </c>
      <c r="D9" s="8" t="s">
        <v>74</v>
      </c>
      <c r="E9" s="8" t="s">
        <v>75</v>
      </c>
      <c r="F9" s="7" t="s">
        <v>63</v>
      </c>
      <c r="G9" s="9" t="s">
        <v>46</v>
      </c>
      <c r="H9" s="10"/>
      <c r="I9" s="9" t="s">
        <v>46</v>
      </c>
      <c r="J9" s="10"/>
      <c r="K9" s="9" t="s">
        <v>46</v>
      </c>
      <c r="L9" s="10"/>
    </row>
    <row r="10" customFormat="false" ht="52.5" hidden="false" customHeight="true" outlineLevel="0" collapsed="false">
      <c r="A10" s="7" t="s">
        <v>76</v>
      </c>
      <c r="B10" s="7" t="s">
        <v>41</v>
      </c>
      <c r="C10" s="8" t="s">
        <v>77</v>
      </c>
      <c r="D10" s="8" t="s">
        <v>78</v>
      </c>
      <c r="E10" s="8" t="s">
        <v>79</v>
      </c>
      <c r="F10" s="7" t="s">
        <v>63</v>
      </c>
      <c r="G10" s="9" t="s">
        <v>46</v>
      </c>
      <c r="H10" s="10"/>
      <c r="I10" s="9" t="s">
        <v>46</v>
      </c>
      <c r="J10" s="10"/>
      <c r="K10" s="9" t="s">
        <v>46</v>
      </c>
      <c r="L10" s="10"/>
    </row>
    <row r="11" customFormat="false" ht="66" hidden="false" customHeight="true" outlineLevel="0" collapsed="false">
      <c r="A11" s="7" t="s">
        <v>80</v>
      </c>
      <c r="B11" s="7" t="s">
        <v>41</v>
      </c>
      <c r="C11" s="8" t="s">
        <v>81</v>
      </c>
      <c r="D11" s="8" t="s">
        <v>82</v>
      </c>
      <c r="E11" s="8" t="s">
        <v>83</v>
      </c>
      <c r="F11" s="7" t="s">
        <v>45</v>
      </c>
      <c r="G11" s="9" t="s">
        <v>84</v>
      </c>
      <c r="H11" s="10" t="s">
        <v>85</v>
      </c>
      <c r="I11" s="9" t="s">
        <v>46</v>
      </c>
      <c r="J11" s="10"/>
      <c r="K11" s="9" t="s">
        <v>86</v>
      </c>
      <c r="L11" s="10" t="s">
        <v>87</v>
      </c>
    </row>
    <row r="12" customFormat="false" ht="90" hidden="false" customHeight="true" outlineLevel="0" collapsed="false">
      <c r="A12" s="7" t="s">
        <v>88</v>
      </c>
      <c r="B12" s="7" t="s">
        <v>41</v>
      </c>
      <c r="C12" s="8" t="s">
        <v>89</v>
      </c>
      <c r="D12" s="8" t="s">
        <v>90</v>
      </c>
      <c r="E12" s="8" t="s">
        <v>91</v>
      </c>
      <c r="F12" s="7" t="s">
        <v>45</v>
      </c>
      <c r="G12" s="9" t="s">
        <v>84</v>
      </c>
      <c r="H12" s="10" t="s">
        <v>92</v>
      </c>
      <c r="I12" s="9" t="s">
        <v>84</v>
      </c>
      <c r="J12" s="10" t="s">
        <v>93</v>
      </c>
      <c r="K12" s="9" t="s">
        <v>84</v>
      </c>
      <c r="L12" s="10" t="s">
        <v>94</v>
      </c>
    </row>
    <row r="13" customFormat="false" ht="42" hidden="false" customHeight="true" outlineLevel="0" collapsed="false">
      <c r="A13" s="7" t="s">
        <v>95</v>
      </c>
      <c r="B13" s="7" t="s">
        <v>41</v>
      </c>
      <c r="C13" s="8" t="s">
        <v>96</v>
      </c>
      <c r="D13" s="8" t="s">
        <v>97</v>
      </c>
      <c r="E13" s="8" t="s">
        <v>98</v>
      </c>
      <c r="F13" s="7" t="s">
        <v>99</v>
      </c>
      <c r="G13" s="9" t="s">
        <v>46</v>
      </c>
      <c r="H13" s="10"/>
      <c r="I13" s="9" t="s">
        <v>46</v>
      </c>
      <c r="J13" s="10"/>
      <c r="K13" s="9" t="s">
        <v>46</v>
      </c>
      <c r="L13" s="10"/>
    </row>
    <row r="14" customFormat="false" ht="42" hidden="false" customHeight="true" outlineLevel="0" collapsed="false">
      <c r="A14" s="7" t="s">
        <v>100</v>
      </c>
      <c r="B14" s="7" t="s">
        <v>101</v>
      </c>
      <c r="C14" s="8" t="s">
        <v>102</v>
      </c>
      <c r="D14" s="8" t="s">
        <v>103</v>
      </c>
      <c r="E14" s="8" t="s">
        <v>104</v>
      </c>
      <c r="F14" s="7" t="s">
        <v>45</v>
      </c>
      <c r="G14" s="9" t="s">
        <v>46</v>
      </c>
      <c r="H14" s="10"/>
      <c r="I14" s="9" t="s">
        <v>46</v>
      </c>
      <c r="J14" s="10"/>
      <c r="K14" s="9" t="s">
        <v>46</v>
      </c>
      <c r="L14" s="10"/>
    </row>
    <row r="15" customFormat="false" ht="90" hidden="false" customHeight="true" outlineLevel="0" collapsed="false">
      <c r="A15" s="7" t="s">
        <v>105</v>
      </c>
      <c r="B15" s="7" t="s">
        <v>101</v>
      </c>
      <c r="C15" s="8" t="s">
        <v>106</v>
      </c>
      <c r="D15" s="8" t="s">
        <v>107</v>
      </c>
      <c r="E15" s="8" t="s">
        <v>108</v>
      </c>
      <c r="F15" s="7" t="s">
        <v>45</v>
      </c>
      <c r="G15" s="9" t="s">
        <v>46</v>
      </c>
      <c r="H15" s="10"/>
      <c r="I15" s="9" t="s">
        <v>84</v>
      </c>
      <c r="J15" s="10" t="s">
        <v>109</v>
      </c>
      <c r="K15" s="9" t="s">
        <v>46</v>
      </c>
      <c r="L15" s="10"/>
    </row>
    <row r="16" customFormat="false" ht="42" hidden="false" customHeight="true" outlineLevel="0" collapsed="false">
      <c r="A16" s="7" t="s">
        <v>110</v>
      </c>
      <c r="B16" s="7" t="s">
        <v>101</v>
      </c>
      <c r="C16" s="8" t="s">
        <v>111</v>
      </c>
      <c r="D16" s="8" t="s">
        <v>112</v>
      </c>
      <c r="E16" s="8" t="s">
        <v>113</v>
      </c>
      <c r="F16" s="7" t="s">
        <v>45</v>
      </c>
      <c r="G16" s="9" t="s">
        <v>86</v>
      </c>
      <c r="H16" s="10" t="s">
        <v>114</v>
      </c>
      <c r="I16" s="9" t="s">
        <v>46</v>
      </c>
      <c r="J16" s="10"/>
      <c r="K16" s="9" t="s">
        <v>86</v>
      </c>
      <c r="L16" s="10" t="s">
        <v>114</v>
      </c>
    </row>
    <row r="17" customFormat="false" ht="42" hidden="false" customHeight="true" outlineLevel="0" collapsed="false">
      <c r="A17" s="7" t="s">
        <v>115</v>
      </c>
      <c r="B17" s="7" t="s">
        <v>101</v>
      </c>
      <c r="C17" s="8" t="s">
        <v>116</v>
      </c>
      <c r="D17" s="8" t="s">
        <v>117</v>
      </c>
      <c r="E17" s="8" t="s">
        <v>118</v>
      </c>
      <c r="F17" s="7" t="s">
        <v>45</v>
      </c>
      <c r="G17" s="9" t="s">
        <v>86</v>
      </c>
      <c r="H17" s="10" t="s">
        <v>119</v>
      </c>
      <c r="I17" s="9" t="s">
        <v>46</v>
      </c>
      <c r="J17" s="10"/>
      <c r="K17" s="9" t="s">
        <v>86</v>
      </c>
      <c r="L17" s="10" t="s">
        <v>119</v>
      </c>
    </row>
    <row r="18" customFormat="false" ht="42" hidden="false" customHeight="true" outlineLevel="0" collapsed="false">
      <c r="A18" s="7" t="s">
        <v>120</v>
      </c>
      <c r="B18" s="7" t="s">
        <v>101</v>
      </c>
      <c r="C18" s="8" t="s">
        <v>121</v>
      </c>
      <c r="D18" s="8" t="s">
        <v>122</v>
      </c>
      <c r="E18" s="8" t="s">
        <v>123</v>
      </c>
      <c r="F18" s="7" t="s">
        <v>45</v>
      </c>
      <c r="G18" s="9" t="s">
        <v>46</v>
      </c>
      <c r="H18" s="10"/>
      <c r="I18" s="9" t="s">
        <v>46</v>
      </c>
      <c r="J18" s="10"/>
      <c r="K18" s="9" t="s">
        <v>46</v>
      </c>
      <c r="L18" s="10"/>
    </row>
    <row r="19" customFormat="false" ht="42" hidden="false" customHeight="true" outlineLevel="0" collapsed="false">
      <c r="A19" s="7" t="s">
        <v>124</v>
      </c>
      <c r="B19" s="7" t="s">
        <v>101</v>
      </c>
      <c r="C19" s="8" t="s">
        <v>125</v>
      </c>
      <c r="D19" s="8" t="s">
        <v>126</v>
      </c>
      <c r="E19" s="8" t="s">
        <v>127</v>
      </c>
      <c r="F19" s="7" t="s">
        <v>45</v>
      </c>
      <c r="G19" s="9" t="s">
        <v>86</v>
      </c>
      <c r="H19" s="10" t="s">
        <v>114</v>
      </c>
      <c r="I19" s="9" t="s">
        <v>46</v>
      </c>
      <c r="J19" s="10"/>
      <c r="K19" s="9" t="s">
        <v>86</v>
      </c>
      <c r="L19" s="10" t="s">
        <v>114</v>
      </c>
    </row>
    <row r="20" customFormat="false" ht="42" hidden="false" customHeight="true" outlineLevel="0" collapsed="false">
      <c r="A20" s="7" t="s">
        <v>128</v>
      </c>
      <c r="B20" s="7" t="s">
        <v>101</v>
      </c>
      <c r="C20" s="8" t="s">
        <v>129</v>
      </c>
      <c r="D20" s="8" t="s">
        <v>130</v>
      </c>
      <c r="E20" s="8" t="s">
        <v>131</v>
      </c>
      <c r="F20" s="7" t="s">
        <v>45</v>
      </c>
      <c r="G20" s="9" t="s">
        <v>86</v>
      </c>
      <c r="H20" s="10" t="s">
        <v>114</v>
      </c>
      <c r="I20" s="9" t="s">
        <v>46</v>
      </c>
      <c r="J20" s="10"/>
      <c r="K20" s="9" t="s">
        <v>86</v>
      </c>
      <c r="L20" s="10" t="s">
        <v>114</v>
      </c>
    </row>
    <row r="21" customFormat="false" ht="52.5" hidden="false" customHeight="true" outlineLevel="0" collapsed="false">
      <c r="A21" s="7" t="s">
        <v>132</v>
      </c>
      <c r="B21" s="7" t="s">
        <v>101</v>
      </c>
      <c r="C21" s="8" t="s">
        <v>133</v>
      </c>
      <c r="D21" s="8" t="s">
        <v>134</v>
      </c>
      <c r="E21" s="8" t="s">
        <v>135</v>
      </c>
      <c r="F21" s="7" t="s">
        <v>45</v>
      </c>
      <c r="G21" s="9" t="s">
        <v>86</v>
      </c>
      <c r="H21" s="10" t="s">
        <v>114</v>
      </c>
      <c r="I21" s="9" t="s">
        <v>46</v>
      </c>
      <c r="J21" s="10"/>
      <c r="K21" s="9" t="s">
        <v>86</v>
      </c>
      <c r="L21" s="10" t="s">
        <v>114</v>
      </c>
    </row>
    <row r="22" customFormat="false" ht="42" hidden="false" customHeight="true" outlineLevel="0" collapsed="false">
      <c r="A22" s="7" t="s">
        <v>136</v>
      </c>
      <c r="B22" s="7" t="s">
        <v>101</v>
      </c>
      <c r="C22" s="8" t="s">
        <v>137</v>
      </c>
      <c r="D22" s="8" t="s">
        <v>138</v>
      </c>
      <c r="E22" s="8" t="s">
        <v>139</v>
      </c>
      <c r="F22" s="7" t="s">
        <v>45</v>
      </c>
      <c r="G22" s="9" t="s">
        <v>86</v>
      </c>
      <c r="H22" s="10" t="s">
        <v>114</v>
      </c>
      <c r="I22" s="9" t="s">
        <v>86</v>
      </c>
      <c r="J22" s="10" t="s">
        <v>140</v>
      </c>
      <c r="K22" s="9" t="s">
        <v>86</v>
      </c>
      <c r="L22" s="10" t="s">
        <v>114</v>
      </c>
    </row>
    <row r="23" customFormat="false" ht="42" hidden="false" customHeight="true" outlineLevel="0" collapsed="false">
      <c r="A23" s="7" t="s">
        <v>141</v>
      </c>
      <c r="B23" s="7" t="s">
        <v>101</v>
      </c>
      <c r="C23" s="8" t="s">
        <v>142</v>
      </c>
      <c r="D23" s="8" t="s">
        <v>143</v>
      </c>
      <c r="E23" s="8" t="s">
        <v>144</v>
      </c>
      <c r="F23" s="7" t="s">
        <v>45</v>
      </c>
      <c r="G23" s="9" t="s">
        <v>86</v>
      </c>
      <c r="H23" s="10" t="s">
        <v>114</v>
      </c>
      <c r="I23" s="9" t="s">
        <v>46</v>
      </c>
      <c r="J23" s="10"/>
      <c r="K23" s="9" t="s">
        <v>86</v>
      </c>
      <c r="L23" s="10" t="s">
        <v>114</v>
      </c>
    </row>
    <row r="24" customFormat="false" ht="42" hidden="false" customHeight="true" outlineLevel="0" collapsed="false">
      <c r="A24" s="7" t="s">
        <v>145</v>
      </c>
      <c r="B24" s="7" t="s">
        <v>101</v>
      </c>
      <c r="C24" s="8" t="s">
        <v>146</v>
      </c>
      <c r="D24" s="8" t="s">
        <v>147</v>
      </c>
      <c r="E24" s="8" t="s">
        <v>148</v>
      </c>
      <c r="F24" s="7" t="s">
        <v>63</v>
      </c>
      <c r="G24" s="9" t="s">
        <v>86</v>
      </c>
      <c r="H24" s="10" t="s">
        <v>114</v>
      </c>
      <c r="I24" s="9" t="s">
        <v>84</v>
      </c>
      <c r="J24" s="10" t="s">
        <v>149</v>
      </c>
      <c r="K24" s="9" t="s">
        <v>86</v>
      </c>
      <c r="L24" s="10" t="s">
        <v>114</v>
      </c>
    </row>
    <row r="25" customFormat="false" ht="52.5" hidden="false" customHeight="true" outlineLevel="0" collapsed="false">
      <c r="A25" s="7" t="s">
        <v>150</v>
      </c>
      <c r="B25" s="7" t="s">
        <v>101</v>
      </c>
      <c r="C25" s="8" t="s">
        <v>151</v>
      </c>
      <c r="D25" s="8" t="s">
        <v>152</v>
      </c>
      <c r="E25" s="8" t="s">
        <v>153</v>
      </c>
      <c r="F25" s="7" t="s">
        <v>63</v>
      </c>
      <c r="G25" s="9" t="s">
        <v>86</v>
      </c>
      <c r="H25" s="10" t="s">
        <v>114</v>
      </c>
      <c r="I25" s="9" t="s">
        <v>46</v>
      </c>
      <c r="J25" s="10"/>
      <c r="K25" s="9" t="s">
        <v>86</v>
      </c>
      <c r="L25" s="10" t="s">
        <v>114</v>
      </c>
    </row>
    <row r="26" customFormat="false" ht="42" hidden="false" customHeight="true" outlineLevel="0" collapsed="false">
      <c r="A26" s="7" t="s">
        <v>154</v>
      </c>
      <c r="B26" s="7" t="s">
        <v>101</v>
      </c>
      <c r="C26" s="8" t="s">
        <v>155</v>
      </c>
      <c r="D26" s="8" t="s">
        <v>156</v>
      </c>
      <c r="E26" s="8" t="s">
        <v>157</v>
      </c>
      <c r="F26" s="7" t="s">
        <v>63</v>
      </c>
      <c r="G26" s="9" t="s">
        <v>86</v>
      </c>
      <c r="H26" s="10" t="s">
        <v>114</v>
      </c>
      <c r="I26" s="9" t="s">
        <v>46</v>
      </c>
      <c r="J26" s="10"/>
      <c r="K26" s="9" t="s">
        <v>86</v>
      </c>
      <c r="L26" s="10" t="s">
        <v>114</v>
      </c>
    </row>
    <row r="27" customFormat="false" ht="42" hidden="false" customHeight="true" outlineLevel="0" collapsed="false">
      <c r="A27" s="7" t="s">
        <v>158</v>
      </c>
      <c r="B27" s="7" t="s">
        <v>159</v>
      </c>
      <c r="C27" s="8" t="s">
        <v>160</v>
      </c>
      <c r="D27" s="8" t="s">
        <v>161</v>
      </c>
      <c r="E27" s="8" t="s">
        <v>162</v>
      </c>
      <c r="F27" s="7" t="s">
        <v>63</v>
      </c>
      <c r="G27" s="9" t="s">
        <v>86</v>
      </c>
      <c r="H27" s="10" t="s">
        <v>163</v>
      </c>
      <c r="I27" s="9" t="s">
        <v>86</v>
      </c>
      <c r="J27" s="10" t="s">
        <v>163</v>
      </c>
      <c r="K27" s="9" t="s">
        <v>86</v>
      </c>
      <c r="L27" s="10" t="s">
        <v>163</v>
      </c>
    </row>
    <row r="28" customFormat="false" ht="42" hidden="false" customHeight="true" outlineLevel="0" collapsed="false">
      <c r="A28" s="7" t="s">
        <v>164</v>
      </c>
      <c r="B28" s="7" t="s">
        <v>159</v>
      </c>
      <c r="C28" s="8" t="s">
        <v>165</v>
      </c>
      <c r="D28" s="8" t="s">
        <v>166</v>
      </c>
      <c r="E28" s="8" t="s">
        <v>167</v>
      </c>
      <c r="F28" s="7" t="s">
        <v>45</v>
      </c>
      <c r="G28" s="9" t="s">
        <v>46</v>
      </c>
      <c r="H28" s="10"/>
      <c r="I28" s="9" t="s">
        <v>46</v>
      </c>
      <c r="J28" s="10"/>
      <c r="K28" s="9" t="s">
        <v>46</v>
      </c>
      <c r="L28" s="10"/>
    </row>
    <row r="29" customFormat="false" ht="42" hidden="false" customHeight="true" outlineLevel="0" collapsed="false">
      <c r="A29" s="7" t="s">
        <v>168</v>
      </c>
      <c r="B29" s="7" t="s">
        <v>159</v>
      </c>
      <c r="C29" s="8" t="s">
        <v>169</v>
      </c>
      <c r="D29" s="8" t="s">
        <v>170</v>
      </c>
      <c r="E29" s="8" t="s">
        <v>171</v>
      </c>
      <c r="F29" s="7" t="s">
        <v>63</v>
      </c>
      <c r="G29" s="9" t="s">
        <v>46</v>
      </c>
      <c r="H29" s="10"/>
      <c r="I29" s="9" t="s">
        <v>46</v>
      </c>
      <c r="J29" s="10"/>
      <c r="K29" s="9" t="s">
        <v>46</v>
      </c>
      <c r="L29" s="10"/>
    </row>
    <row r="30" customFormat="false" ht="42" hidden="false" customHeight="true" outlineLevel="0" collapsed="false">
      <c r="A30" s="7" t="s">
        <v>172</v>
      </c>
      <c r="B30" s="7" t="s">
        <v>159</v>
      </c>
      <c r="C30" s="8" t="s">
        <v>173</v>
      </c>
      <c r="D30" s="8" t="s">
        <v>174</v>
      </c>
      <c r="E30" s="8" t="s">
        <v>98</v>
      </c>
      <c r="F30" s="7" t="s">
        <v>45</v>
      </c>
      <c r="G30" s="9" t="s">
        <v>46</v>
      </c>
      <c r="H30" s="10"/>
      <c r="I30" s="9" t="s">
        <v>46</v>
      </c>
      <c r="J30" s="10"/>
      <c r="K30" s="9" t="s">
        <v>46</v>
      </c>
      <c r="L30" s="10"/>
    </row>
    <row r="31" customFormat="false" ht="66" hidden="false" customHeight="true" outlineLevel="0" collapsed="false">
      <c r="A31" s="7" t="s">
        <v>175</v>
      </c>
      <c r="B31" s="7" t="s">
        <v>159</v>
      </c>
      <c r="C31" s="8" t="s">
        <v>176</v>
      </c>
      <c r="D31" s="8" t="s">
        <v>177</v>
      </c>
      <c r="E31" s="8" t="s">
        <v>178</v>
      </c>
      <c r="F31" s="7" t="s">
        <v>45</v>
      </c>
      <c r="G31" s="9" t="s">
        <v>46</v>
      </c>
      <c r="H31" s="10"/>
      <c r="I31" s="9" t="s">
        <v>86</v>
      </c>
      <c r="J31" s="10" t="s">
        <v>179</v>
      </c>
      <c r="K31" s="9" t="s">
        <v>46</v>
      </c>
      <c r="L31" s="10"/>
    </row>
    <row r="32" customFormat="false" ht="42" hidden="false" customHeight="true" outlineLevel="0" collapsed="false">
      <c r="A32" s="7" t="s">
        <v>180</v>
      </c>
      <c r="B32" s="7" t="s">
        <v>159</v>
      </c>
      <c r="C32" s="8" t="s">
        <v>181</v>
      </c>
      <c r="D32" s="8" t="s">
        <v>182</v>
      </c>
      <c r="E32" s="8" t="s">
        <v>183</v>
      </c>
      <c r="F32" s="7" t="s">
        <v>45</v>
      </c>
      <c r="G32" s="9" t="s">
        <v>46</v>
      </c>
      <c r="H32" s="10"/>
      <c r="I32" s="9" t="s">
        <v>46</v>
      </c>
      <c r="J32" s="10"/>
      <c r="K32" s="9" t="s">
        <v>46</v>
      </c>
      <c r="L32" s="10"/>
    </row>
    <row r="33" customFormat="false" ht="42" hidden="false" customHeight="true" outlineLevel="0" collapsed="false">
      <c r="A33" s="7" t="s">
        <v>184</v>
      </c>
      <c r="B33" s="7" t="s">
        <v>159</v>
      </c>
      <c r="C33" s="8" t="s">
        <v>185</v>
      </c>
      <c r="D33" s="8" t="s">
        <v>186</v>
      </c>
      <c r="E33" s="8" t="s">
        <v>187</v>
      </c>
      <c r="F33" s="7" t="s">
        <v>63</v>
      </c>
      <c r="G33" s="9" t="s">
        <v>46</v>
      </c>
      <c r="H33" s="10"/>
      <c r="I33" s="9" t="s">
        <v>46</v>
      </c>
      <c r="J33" s="10"/>
      <c r="K33" s="9" t="s">
        <v>46</v>
      </c>
      <c r="L33" s="10"/>
    </row>
    <row r="34" customFormat="false" ht="92.25" hidden="false" customHeight="true" outlineLevel="0" collapsed="false">
      <c r="A34" s="7" t="s">
        <v>188</v>
      </c>
      <c r="B34" s="7" t="s">
        <v>159</v>
      </c>
      <c r="C34" s="8" t="s">
        <v>189</v>
      </c>
      <c r="D34" s="8" t="s">
        <v>190</v>
      </c>
      <c r="E34" s="8" t="s">
        <v>191</v>
      </c>
      <c r="F34" s="7" t="s">
        <v>45</v>
      </c>
      <c r="G34" s="9" t="s">
        <v>46</v>
      </c>
      <c r="H34" s="10"/>
      <c r="I34" s="9" t="s">
        <v>46</v>
      </c>
      <c r="J34" s="10"/>
      <c r="K34" s="9" t="s">
        <v>46</v>
      </c>
      <c r="L34" s="10"/>
    </row>
    <row r="35" customFormat="false" ht="90" hidden="false" customHeight="true" outlineLevel="0" collapsed="false">
      <c r="A35" s="7" t="s">
        <v>192</v>
      </c>
      <c r="B35" s="7" t="s">
        <v>159</v>
      </c>
      <c r="C35" s="8" t="s">
        <v>193</v>
      </c>
      <c r="D35" s="8" t="s">
        <v>194</v>
      </c>
      <c r="E35" s="8" t="s">
        <v>195</v>
      </c>
      <c r="F35" s="7" t="s">
        <v>45</v>
      </c>
      <c r="G35" s="9" t="s">
        <v>46</v>
      </c>
      <c r="H35" s="10"/>
      <c r="I35" s="9" t="s">
        <v>46</v>
      </c>
      <c r="J35" s="10"/>
      <c r="K35" s="9" t="s">
        <v>84</v>
      </c>
      <c r="L35" s="10" t="s">
        <v>196</v>
      </c>
    </row>
    <row r="36" customFormat="false" ht="39" hidden="false" customHeight="true" outlineLevel="0" collapsed="false">
      <c r="A36" s="7" t="s">
        <v>197</v>
      </c>
      <c r="B36" s="7" t="s">
        <v>159</v>
      </c>
      <c r="C36" s="8" t="s">
        <v>198</v>
      </c>
      <c r="D36" s="8" t="s">
        <v>199</v>
      </c>
      <c r="E36" s="8" t="s">
        <v>200</v>
      </c>
      <c r="F36" s="7" t="s">
        <v>63</v>
      </c>
      <c r="G36" s="9" t="s">
        <v>86</v>
      </c>
      <c r="H36" s="10" t="s">
        <v>114</v>
      </c>
      <c r="I36" s="9" t="s">
        <v>84</v>
      </c>
      <c r="J36" s="10" t="s">
        <v>201</v>
      </c>
      <c r="K36" s="9" t="s">
        <v>86</v>
      </c>
      <c r="L36" s="10" t="s">
        <v>114</v>
      </c>
    </row>
    <row r="37" customFormat="false" ht="42" hidden="false" customHeight="true" outlineLevel="0" collapsed="false">
      <c r="A37" s="7" t="s">
        <v>202</v>
      </c>
      <c r="B37" s="7" t="s">
        <v>159</v>
      </c>
      <c r="C37" s="8" t="s">
        <v>203</v>
      </c>
      <c r="D37" s="8" t="s">
        <v>204</v>
      </c>
      <c r="E37" s="8" t="s">
        <v>205</v>
      </c>
      <c r="F37" s="7" t="s">
        <v>45</v>
      </c>
      <c r="G37" s="9" t="s">
        <v>46</v>
      </c>
      <c r="H37" s="10"/>
      <c r="I37" s="9" t="s">
        <v>86</v>
      </c>
      <c r="J37" s="10" t="s">
        <v>206</v>
      </c>
      <c r="K37" s="9" t="s">
        <v>46</v>
      </c>
      <c r="L37" s="10"/>
    </row>
    <row r="38" customFormat="false" ht="42" hidden="false" customHeight="true" outlineLevel="0" collapsed="false">
      <c r="A38" s="7" t="s">
        <v>207</v>
      </c>
      <c r="B38" s="7" t="s">
        <v>159</v>
      </c>
      <c r="C38" s="8" t="s">
        <v>208</v>
      </c>
      <c r="D38" s="8" t="s">
        <v>209</v>
      </c>
      <c r="E38" s="8" t="s">
        <v>171</v>
      </c>
      <c r="F38" s="7" t="s">
        <v>99</v>
      </c>
      <c r="G38" s="9" t="s">
        <v>46</v>
      </c>
      <c r="H38" s="10"/>
      <c r="I38" s="9" t="s">
        <v>46</v>
      </c>
      <c r="J38" s="10"/>
      <c r="K38" s="9" t="s">
        <v>46</v>
      </c>
      <c r="L38" s="10"/>
    </row>
    <row r="39" customFormat="false" ht="42" hidden="false" customHeight="true" outlineLevel="0" collapsed="false">
      <c r="A39" s="7" t="s">
        <v>210</v>
      </c>
      <c r="B39" s="7" t="s">
        <v>211</v>
      </c>
      <c r="C39" s="8" t="s">
        <v>212</v>
      </c>
      <c r="D39" s="8" t="s">
        <v>213</v>
      </c>
      <c r="E39" s="8" t="s">
        <v>214</v>
      </c>
      <c r="F39" s="7" t="s">
        <v>45</v>
      </c>
      <c r="G39" s="9" t="s">
        <v>46</v>
      </c>
      <c r="H39" s="10"/>
      <c r="I39" s="9" t="s">
        <v>46</v>
      </c>
      <c r="J39" s="10"/>
      <c r="K39" s="9" t="s">
        <v>86</v>
      </c>
      <c r="L39" s="10" t="s">
        <v>215</v>
      </c>
    </row>
    <row r="40" customFormat="false" ht="42" hidden="false" customHeight="true" outlineLevel="0" collapsed="false">
      <c r="A40" s="7" t="s">
        <v>216</v>
      </c>
      <c r="B40" s="7" t="s">
        <v>211</v>
      </c>
      <c r="C40" s="8" t="s">
        <v>217</v>
      </c>
      <c r="D40" s="8" t="s">
        <v>218</v>
      </c>
      <c r="E40" s="8" t="s">
        <v>219</v>
      </c>
      <c r="F40" s="7" t="s">
        <v>45</v>
      </c>
      <c r="G40" s="9" t="s">
        <v>84</v>
      </c>
      <c r="H40" s="10" t="s">
        <v>220</v>
      </c>
      <c r="I40" s="9" t="s">
        <v>84</v>
      </c>
      <c r="J40" s="10" t="s">
        <v>221</v>
      </c>
      <c r="K40" s="9" t="s">
        <v>84</v>
      </c>
      <c r="L40" s="10" t="s">
        <v>222</v>
      </c>
    </row>
    <row r="41" customFormat="false" ht="66" hidden="false" customHeight="true" outlineLevel="0" collapsed="false">
      <c r="A41" s="7" t="s">
        <v>223</v>
      </c>
      <c r="B41" s="7" t="s">
        <v>211</v>
      </c>
      <c r="C41" s="8" t="s">
        <v>224</v>
      </c>
      <c r="D41" s="8" t="s">
        <v>225</v>
      </c>
      <c r="E41" s="8" t="s">
        <v>226</v>
      </c>
      <c r="F41" s="7" t="s">
        <v>63</v>
      </c>
      <c r="G41" s="9" t="s">
        <v>46</v>
      </c>
      <c r="H41" s="10"/>
      <c r="I41" s="9" t="s">
        <v>86</v>
      </c>
      <c r="J41" s="10" t="s">
        <v>227</v>
      </c>
      <c r="K41" s="9" t="s">
        <v>46</v>
      </c>
      <c r="L41" s="10"/>
    </row>
    <row r="42" customFormat="false" ht="42" hidden="false" customHeight="true" outlineLevel="0" collapsed="false">
      <c r="A42" s="7" t="s">
        <v>228</v>
      </c>
      <c r="B42" s="7" t="s">
        <v>211</v>
      </c>
      <c r="C42" s="8" t="s">
        <v>229</v>
      </c>
      <c r="D42" s="8" t="s">
        <v>230</v>
      </c>
      <c r="E42" s="8" t="s">
        <v>231</v>
      </c>
      <c r="F42" s="7" t="s">
        <v>63</v>
      </c>
      <c r="G42" s="9" t="s">
        <v>46</v>
      </c>
      <c r="H42" s="10"/>
      <c r="I42" s="9" t="s">
        <v>86</v>
      </c>
      <c r="J42" s="10" t="s">
        <v>232</v>
      </c>
      <c r="K42" s="9" t="s">
        <v>46</v>
      </c>
      <c r="L42" s="10"/>
    </row>
    <row r="43" customFormat="false" ht="66" hidden="false" customHeight="true" outlineLevel="0" collapsed="false">
      <c r="A43" s="7" t="s">
        <v>233</v>
      </c>
      <c r="B43" s="7" t="s">
        <v>211</v>
      </c>
      <c r="C43" s="8" t="s">
        <v>234</v>
      </c>
      <c r="D43" s="8" t="s">
        <v>235</v>
      </c>
      <c r="E43" s="8" t="s">
        <v>236</v>
      </c>
      <c r="F43" s="7" t="s">
        <v>45</v>
      </c>
      <c r="G43" s="9" t="s">
        <v>86</v>
      </c>
      <c r="H43" s="10" t="s">
        <v>237</v>
      </c>
      <c r="I43" s="9" t="s">
        <v>46</v>
      </c>
      <c r="J43" s="10"/>
      <c r="K43" s="9" t="s">
        <v>86</v>
      </c>
      <c r="L43" s="10" t="s">
        <v>237</v>
      </c>
    </row>
    <row r="44" customFormat="false" ht="105" hidden="false" customHeight="true" outlineLevel="0" collapsed="false">
      <c r="A44" s="7" t="s">
        <v>238</v>
      </c>
      <c r="B44" s="7" t="s">
        <v>211</v>
      </c>
      <c r="C44" s="8" t="s">
        <v>239</v>
      </c>
      <c r="D44" s="8" t="s">
        <v>240</v>
      </c>
      <c r="E44" s="8" t="s">
        <v>241</v>
      </c>
      <c r="F44" s="7" t="s">
        <v>45</v>
      </c>
      <c r="G44" s="9" t="s">
        <v>86</v>
      </c>
      <c r="H44" s="10" t="s">
        <v>242</v>
      </c>
      <c r="I44" s="9" t="s">
        <v>46</v>
      </c>
      <c r="J44" s="10"/>
      <c r="K44" s="9" t="s">
        <v>46</v>
      </c>
      <c r="L44" s="10"/>
    </row>
    <row r="45" customFormat="false" ht="78.75" hidden="false" customHeight="true" outlineLevel="0" collapsed="false">
      <c r="A45" s="7" t="s">
        <v>243</v>
      </c>
      <c r="B45" s="7" t="s">
        <v>211</v>
      </c>
      <c r="C45" s="8" t="s">
        <v>244</v>
      </c>
      <c r="D45" s="8" t="s">
        <v>245</v>
      </c>
      <c r="E45" s="8" t="s">
        <v>246</v>
      </c>
      <c r="F45" s="7" t="s">
        <v>63</v>
      </c>
      <c r="G45" s="9" t="s">
        <v>46</v>
      </c>
      <c r="H45" s="10"/>
      <c r="I45" s="9" t="s">
        <v>46</v>
      </c>
      <c r="J45" s="10"/>
      <c r="K45" s="9" t="s">
        <v>46</v>
      </c>
      <c r="L45" s="10"/>
    </row>
    <row r="46" customFormat="false" ht="42" hidden="false" customHeight="true" outlineLevel="0" collapsed="false">
      <c r="A46" s="7" t="s">
        <v>247</v>
      </c>
      <c r="B46" s="7" t="s">
        <v>211</v>
      </c>
      <c r="C46" s="8" t="s">
        <v>248</v>
      </c>
      <c r="D46" s="8" t="s">
        <v>249</v>
      </c>
      <c r="E46" s="8" t="s">
        <v>139</v>
      </c>
      <c r="F46" s="7" t="s">
        <v>45</v>
      </c>
      <c r="G46" s="9" t="s">
        <v>84</v>
      </c>
      <c r="H46" s="10" t="s">
        <v>250</v>
      </c>
      <c r="I46" s="9" t="s">
        <v>84</v>
      </c>
      <c r="J46" s="10" t="s">
        <v>250</v>
      </c>
      <c r="K46" s="9" t="s">
        <v>84</v>
      </c>
      <c r="L46" s="10" t="s">
        <v>250</v>
      </c>
    </row>
    <row r="47" customFormat="false" ht="42" hidden="false" customHeight="true" outlineLevel="0" collapsed="false">
      <c r="A47" s="7" t="s">
        <v>251</v>
      </c>
      <c r="B47" s="7" t="s">
        <v>211</v>
      </c>
      <c r="C47" s="8" t="s">
        <v>252</v>
      </c>
      <c r="D47" s="8" t="s">
        <v>253</v>
      </c>
      <c r="E47" s="8" t="s">
        <v>254</v>
      </c>
      <c r="F47" s="7" t="s">
        <v>45</v>
      </c>
      <c r="G47" s="9" t="s">
        <v>84</v>
      </c>
      <c r="H47" s="10" t="s">
        <v>255</v>
      </c>
      <c r="I47" s="9" t="s">
        <v>84</v>
      </c>
      <c r="J47" s="10" t="s">
        <v>255</v>
      </c>
      <c r="K47" s="9" t="s">
        <v>84</v>
      </c>
      <c r="L47" s="10" t="s">
        <v>255</v>
      </c>
    </row>
    <row r="48" customFormat="false" ht="52.5" hidden="false" customHeight="true" outlineLevel="0" collapsed="false">
      <c r="A48" s="7" t="s">
        <v>256</v>
      </c>
      <c r="B48" s="7" t="s">
        <v>211</v>
      </c>
      <c r="C48" s="8" t="s">
        <v>257</v>
      </c>
      <c r="D48" s="8" t="s">
        <v>258</v>
      </c>
      <c r="E48" s="8" t="s">
        <v>259</v>
      </c>
      <c r="F48" s="7" t="s">
        <v>63</v>
      </c>
      <c r="G48" s="9" t="s">
        <v>46</v>
      </c>
      <c r="H48" s="10"/>
      <c r="I48" s="9" t="s">
        <v>46</v>
      </c>
      <c r="J48" s="10"/>
      <c r="K48" s="9" t="s">
        <v>46</v>
      </c>
      <c r="L48" s="10"/>
    </row>
    <row r="49" customFormat="false" ht="42" hidden="false" customHeight="true" outlineLevel="0" collapsed="false">
      <c r="A49" s="7" t="s">
        <v>260</v>
      </c>
      <c r="B49" s="7" t="s">
        <v>211</v>
      </c>
      <c r="C49" s="8" t="s">
        <v>261</v>
      </c>
      <c r="D49" s="8" t="s">
        <v>262</v>
      </c>
      <c r="E49" s="8" t="s">
        <v>263</v>
      </c>
      <c r="F49" s="7" t="s">
        <v>63</v>
      </c>
      <c r="G49" s="9" t="s">
        <v>46</v>
      </c>
      <c r="H49" s="10"/>
      <c r="I49" s="9" t="s">
        <v>46</v>
      </c>
      <c r="J49" s="10"/>
      <c r="K49" s="9" t="s">
        <v>46</v>
      </c>
      <c r="L49" s="10"/>
    </row>
  </sheetData>
  <autoFilter ref="A1:L49"/>
  <conditionalFormatting sqref="G2:G49">
    <cfRule type="cellIs" priority="2" operator="equal" aboveAverage="0" equalAverage="0" bottom="0" percent="0" rank="0" text="" dxfId="10">
      <formula>"P"</formula>
    </cfRule>
    <cfRule type="cellIs" priority="3" operator="equal" aboveAverage="0" equalAverage="0" bottom="0" percent="0" rank="0" text="" dxfId="11">
      <formula>"F"</formula>
    </cfRule>
    <cfRule type="cellIs" priority="4" operator="equal" aboveAverage="0" equalAverage="0" bottom="0" percent="0" rank="0" text="" dxfId="12">
      <formula>"N/A"</formula>
    </cfRule>
  </conditionalFormatting>
  <conditionalFormatting sqref="I2:I49">
    <cfRule type="cellIs" priority="5" operator="equal" aboveAverage="0" equalAverage="0" bottom="0" percent="0" rank="0" text="" dxfId="10">
      <formula>"P"</formula>
    </cfRule>
    <cfRule type="cellIs" priority="6" operator="equal" aboveAverage="0" equalAverage="0" bottom="0" percent="0" rank="0" text="" dxfId="11">
      <formula>"F"</formula>
    </cfRule>
    <cfRule type="cellIs" priority="7" operator="equal" aboveAverage="0" equalAverage="0" bottom="0" percent="0" rank="0" text="" dxfId="12">
      <formula>"N/A"</formula>
    </cfRule>
  </conditionalFormatting>
  <conditionalFormatting sqref="K2:K49">
    <cfRule type="cellIs" priority="8" operator="equal" aboveAverage="0" equalAverage="0" bottom="0" percent="0" rank="0" text="" dxfId="10">
      <formula>"P"</formula>
    </cfRule>
    <cfRule type="cellIs" priority="9" operator="equal" aboveAverage="0" equalAverage="0" bottom="0" percent="0" rank="0" text="" dxfId="11">
      <formula>"F"</formula>
    </cfRule>
    <cfRule type="cellIs" priority="10" operator="equal" aboveAverage="0" equalAverage="0" bottom="0" percent="0" rank="0" text="" dxfId="12">
      <formula>"N/A"</formula>
    </cfRule>
  </conditionalFormatting>
  <dataValidations count="1">
    <dataValidation allowBlank="true" error="Chỉ nhận P, F hoặc N/A" errorStyle="stop" errorTitle="Giá trị không hợp lệ" operator="between" showDropDown="false" showErrorMessage="false" showInputMessage="false" sqref="G2:G49 I2:I49 K2:K49" type="list">
      <formula1>"P,F,N/A"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2" activeCellId="0" sqref="C32"/>
    </sheetView>
  </sheetViews>
  <sheetFormatPr defaultColWidth="8.66796875" defaultRowHeight="14.25" customHeight="false" zeroHeight="false" outlineLevelRow="0" outlineLevelCol="0"/>
  <cols>
    <col collapsed="false" customWidth="true" hidden="false" outlineLevel="0" max="1" min="1" style="0" width="34"/>
    <col collapsed="false" customWidth="true" hidden="false" outlineLevel="0" max="6" min="2" style="0" width="12"/>
  </cols>
  <sheetData>
    <row r="1" customFormat="false" ht="17.25" hidden="false" customHeight="true" outlineLevel="0" collapsed="false">
      <c r="A1" s="11" t="s">
        <v>264</v>
      </c>
    </row>
    <row r="2" customFormat="false" ht="14.25" hidden="false" customHeight="false" outlineLevel="0" collapsed="false">
      <c r="A2" s="12" t="s">
        <v>265</v>
      </c>
    </row>
    <row r="4" customFormat="false" ht="14.25" hidden="false" customHeight="false" outlineLevel="0" collapsed="false">
      <c r="A4" s="6" t="s">
        <v>266</v>
      </c>
      <c r="B4" s="6" t="s">
        <v>267</v>
      </c>
      <c r="C4" s="6" t="s">
        <v>268</v>
      </c>
      <c r="D4" s="6" t="s">
        <v>86</v>
      </c>
      <c r="E4" s="6" t="s">
        <v>269</v>
      </c>
      <c r="F4" s="6" t="s">
        <v>270</v>
      </c>
    </row>
    <row r="5" customFormat="false" ht="14.25" hidden="false" customHeight="false" outlineLevel="0" collapsed="false">
      <c r="A5" s="13" t="s">
        <v>271</v>
      </c>
      <c r="B5" s="7" t="n">
        <f aca="false">COUNTIF(Checklist_Run!G2:G49,"P")</f>
        <v>29</v>
      </c>
      <c r="C5" s="7" t="n">
        <f aca="false">COUNTIF(Checklist_Run!G2:G49,"F")</f>
        <v>5</v>
      </c>
      <c r="D5" s="7" t="n">
        <f aca="false">COUNTIF(Checklist_Run!G2:G49,"N/A")</f>
        <v>14</v>
      </c>
      <c r="E5" s="7" t="n">
        <f aca="false">COUNTBLANK(Checklist_Run!G2:G49)</f>
        <v>0</v>
      </c>
      <c r="F5" s="7" t="n">
        <f aca="false">SUM(B5:E5)</f>
        <v>48</v>
      </c>
    </row>
    <row r="6" customFormat="false" ht="14.25" hidden="false" customHeight="false" outlineLevel="0" collapsed="false">
      <c r="A6" s="13" t="s">
        <v>272</v>
      </c>
      <c r="B6" s="7" t="n">
        <f aca="false">COUNTIF(Checklist_Run!I2:I49,"P")</f>
        <v>35</v>
      </c>
      <c r="C6" s="7" t="n">
        <f aca="false">COUNTIF(Checklist_Run!I2:I49,"F")</f>
        <v>7</v>
      </c>
      <c r="D6" s="7" t="n">
        <f aca="false">COUNTIF(Checklist_Run!I2:I49,"N/A")</f>
        <v>6</v>
      </c>
      <c r="E6" s="7" t="n">
        <f aca="false">COUNTBLANK(Checklist_Run!I2:I49)</f>
        <v>0</v>
      </c>
      <c r="F6" s="7" t="n">
        <f aca="false">SUM(B6:E6)</f>
        <v>48</v>
      </c>
    </row>
    <row r="7" customFormat="false" ht="14.25" hidden="false" customHeight="false" outlineLevel="0" collapsed="false">
      <c r="A7" s="13" t="s">
        <v>273</v>
      </c>
      <c r="B7" s="7" t="n">
        <f aca="false">COUNTIF(Checklist_Run!K2:K49,"P")</f>
        <v>28</v>
      </c>
      <c r="C7" s="7" t="n">
        <f aca="false">COUNTIF(Checklist_Run!K2:K49,"F")</f>
        <v>5</v>
      </c>
      <c r="D7" s="7" t="n">
        <f aca="false">COUNTIF(Checklist_Run!K2:K49,"N/A")</f>
        <v>15</v>
      </c>
      <c r="E7" s="7" t="n">
        <f aca="false">COUNTBLANK(Checklist_Run!K2:K49)</f>
        <v>0</v>
      </c>
      <c r="F7" s="7" t="n">
        <f aca="false">SUM(B7:E7)</f>
        <v>48</v>
      </c>
    </row>
    <row r="8" customFormat="false" ht="14.25" hidden="false" customHeight="false" outlineLevel="0" collapsed="false">
      <c r="A8" s="14" t="s">
        <v>274</v>
      </c>
      <c r="B8" s="15" t="n">
        <f aca="false">SUM(B5:B7)</f>
        <v>92</v>
      </c>
      <c r="C8" s="15" t="n">
        <f aca="false">SUM(C5:C7)</f>
        <v>17</v>
      </c>
      <c r="D8" s="15" t="n">
        <f aca="false">SUM(D5:D7)</f>
        <v>35</v>
      </c>
      <c r="E8" s="15" t="n">
        <f aca="false">SUM(E5:E7)</f>
        <v>0</v>
      </c>
      <c r="F8" s="15" t="n">
        <f aca="false">SUM(F5:F7)</f>
        <v>144</v>
      </c>
    </row>
    <row r="10" customFormat="false" ht="15" hidden="false" customHeight="true" outlineLevel="0" collapsed="false">
      <c r="A10" s="3" t="s">
        <v>275</v>
      </c>
    </row>
    <row r="11" customFormat="false" ht="14.25" hidden="false" customHeight="false" outlineLevel="0" collapsed="false">
      <c r="A11" s="6" t="s">
        <v>29</v>
      </c>
      <c r="B11" s="6" t="s">
        <v>34</v>
      </c>
      <c r="C11" s="6" t="s">
        <v>36</v>
      </c>
      <c r="D11" s="6" t="s">
        <v>38</v>
      </c>
      <c r="E11" s="6" t="s">
        <v>276</v>
      </c>
    </row>
    <row r="12" customFormat="false" ht="14.25" hidden="false" customHeight="false" outlineLevel="0" collapsed="false">
      <c r="A12" s="13" t="s">
        <v>41</v>
      </c>
      <c r="B12" s="7" t="n">
        <f aca="false">COUNTIFS(Checklist_Run!$B$2:$B$49,$A12,Checklist_Run!G2:G49,"F")</f>
        <v>2</v>
      </c>
      <c r="C12" s="7" t="n">
        <f aca="false">COUNTIFS(Checklist_Run!$B$2:$B$49,$A12,Checklist_Run!I2:I49,"F")</f>
        <v>1</v>
      </c>
      <c r="D12" s="7" t="n">
        <f aca="false">COUNTIFS(Checklist_Run!$B$2:$B$49,$A12,Checklist_Run!K2:K49,"F")</f>
        <v>1</v>
      </c>
      <c r="E12" s="7" t="n">
        <f aca="false">SUM(B12:D12)</f>
        <v>4</v>
      </c>
    </row>
    <row r="13" customFormat="false" ht="14.25" hidden="false" customHeight="false" outlineLevel="0" collapsed="false">
      <c r="A13" s="13" t="s">
        <v>101</v>
      </c>
      <c r="B13" s="7" t="n">
        <f aca="false">COUNTIFS(Checklist_Run!$B$2:$B$49,$A13,Checklist_Run!G2:G49,"F")</f>
        <v>0</v>
      </c>
      <c r="C13" s="7" t="n">
        <f aca="false">COUNTIFS(Checklist_Run!$B$2:$B$49,$A13,Checklist_Run!I2:I49,"F")</f>
        <v>2</v>
      </c>
      <c r="D13" s="7" t="n">
        <f aca="false">COUNTIFS(Checklist_Run!$B$2:$B$49,$A13,Checklist_Run!K2:K49,"F")</f>
        <v>0</v>
      </c>
      <c r="E13" s="7" t="n">
        <f aca="false">SUM(B13:D13)</f>
        <v>2</v>
      </c>
    </row>
    <row r="14" customFormat="false" ht="14.25" hidden="false" customHeight="false" outlineLevel="0" collapsed="false">
      <c r="A14" s="13" t="s">
        <v>159</v>
      </c>
      <c r="B14" s="7" t="n">
        <f aca="false">COUNTIFS(Checklist_Run!$B$2:$B$49,$A14,Checklist_Run!G2:G49,"F")</f>
        <v>0</v>
      </c>
      <c r="C14" s="7" t="n">
        <f aca="false">COUNTIFS(Checklist_Run!$B$2:$B$49,$A14,Checklist_Run!I2:I49,"F")</f>
        <v>1</v>
      </c>
      <c r="D14" s="7" t="n">
        <f aca="false">COUNTIFS(Checklist_Run!$B$2:$B$49,$A14,Checklist_Run!K2:K49,"F")</f>
        <v>1</v>
      </c>
      <c r="E14" s="7" t="n">
        <f aca="false">SUM(B14:D14)</f>
        <v>2</v>
      </c>
    </row>
    <row r="15" customFormat="false" ht="14.25" hidden="false" customHeight="false" outlineLevel="0" collapsed="false">
      <c r="A15" s="13" t="s">
        <v>211</v>
      </c>
      <c r="B15" s="7" t="n">
        <f aca="false">COUNTIFS(Checklist_Run!$B$2:$B$49,$A15,Checklist_Run!G2:G49,"F")</f>
        <v>3</v>
      </c>
      <c r="C15" s="7" t="n">
        <f aca="false">COUNTIFS(Checklist_Run!$B$2:$B$49,$A15,Checklist_Run!I2:I49,"F")</f>
        <v>3</v>
      </c>
      <c r="D15" s="7" t="n">
        <f aca="false">COUNTIFS(Checklist_Run!$B$2:$B$49,$A15,Checklist_Run!K2:K49,"F")</f>
        <v>3</v>
      </c>
      <c r="E15" s="7" t="n">
        <f aca="false">SUM(B15:D15)</f>
        <v>9</v>
      </c>
    </row>
    <row r="16" customFormat="false" ht="14.25" hidden="false" customHeight="false" outlineLevel="0" collapsed="false">
      <c r="A16" s="14" t="s">
        <v>277</v>
      </c>
      <c r="E16" s="15" t="n">
        <f aca="false">SUM(E12:E15)</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4.25" customHeight="false"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2"/>
    <col collapsed="false" customWidth="true" hidden="false" outlineLevel="0" max="5" min="4" style="0" width="46"/>
    <col collapsed="false" customWidth="true" hidden="false" outlineLevel="0" max="6" min="6" style="0" width="22"/>
    <col collapsed="false" customWidth="true" hidden="false" outlineLevel="0" max="7" min="7" style="0" width="40"/>
    <col collapsed="false" customWidth="true" hidden="false" outlineLevel="0" max="8" min="8" style="0" width="28"/>
    <col collapsed="false" customWidth="true" hidden="false" outlineLevel="0" max="9" min="9" style="0" width="18"/>
    <col collapsed="false" customWidth="true" hidden="false" outlineLevel="0" max="10" min="10" style="0" width="14"/>
  </cols>
  <sheetData>
    <row r="1" customFormat="false" ht="14.25" hidden="false" customHeight="false" outlineLevel="0" collapsed="false">
      <c r="A1" s="6" t="s">
        <v>28</v>
      </c>
      <c r="B1" s="6" t="s">
        <v>278</v>
      </c>
      <c r="C1" s="6" t="s">
        <v>279</v>
      </c>
      <c r="D1" s="6" t="s">
        <v>280</v>
      </c>
      <c r="E1" s="6" t="s">
        <v>281</v>
      </c>
      <c r="F1" s="6" t="s">
        <v>282</v>
      </c>
      <c r="G1" s="6" t="s">
        <v>283</v>
      </c>
      <c r="H1" s="6" t="s">
        <v>284</v>
      </c>
      <c r="I1" s="6" t="s">
        <v>285</v>
      </c>
      <c r="J1" s="6" t="s">
        <v>286</v>
      </c>
    </row>
    <row r="2" customFormat="false" ht="96" hidden="false" customHeight="true" outlineLevel="0" collapsed="false">
      <c r="A2" s="16" t="str">
        <f aca="false">IF(D2="","","BUG-"&amp;TEXT(ROW()-1,"000"))</f>
        <v>BUG-001</v>
      </c>
      <c r="B2" s="10" t="s">
        <v>287</v>
      </c>
      <c r="C2" s="10" t="s">
        <v>288</v>
      </c>
      <c r="D2" s="10" t="s">
        <v>289</v>
      </c>
      <c r="E2" s="10" t="s">
        <v>290</v>
      </c>
      <c r="F2" s="10" t="s">
        <v>291</v>
      </c>
      <c r="G2" s="10" t="s">
        <v>292</v>
      </c>
      <c r="H2" s="10" t="s">
        <v>293</v>
      </c>
      <c r="I2" s="10" t="s">
        <v>294</v>
      </c>
      <c r="J2" s="10" t="s">
        <v>88</v>
      </c>
    </row>
    <row r="3" customFormat="false" ht="96" hidden="false" customHeight="true" outlineLevel="0" collapsed="false">
      <c r="A3" s="16" t="str">
        <f aca="false">IF(D3="","","BUG-"&amp;TEXT(ROW()-1,"000"))</f>
        <v>BUG-002</v>
      </c>
      <c r="B3" s="10" t="s">
        <v>287</v>
      </c>
      <c r="C3" s="10" t="s">
        <v>288</v>
      </c>
      <c r="D3" s="10" t="s">
        <v>295</v>
      </c>
      <c r="E3" s="10" t="s">
        <v>296</v>
      </c>
      <c r="F3" s="10" t="s">
        <v>291</v>
      </c>
      <c r="G3" s="10" t="s">
        <v>297</v>
      </c>
      <c r="H3" s="10" t="s">
        <v>298</v>
      </c>
      <c r="I3" s="10" t="s">
        <v>294</v>
      </c>
      <c r="J3" s="10" t="s">
        <v>192</v>
      </c>
    </row>
    <row r="4" customFormat="false" ht="96" hidden="false" customHeight="true" outlineLevel="0" collapsed="false">
      <c r="A4" s="16" t="str">
        <f aca="false">IF(D4="","","BUG-"&amp;TEXT(ROW()-1,"000"))</f>
        <v>BUG-003</v>
      </c>
      <c r="B4" s="10" t="s">
        <v>299</v>
      </c>
      <c r="C4" s="10" t="s">
        <v>300</v>
      </c>
      <c r="D4" s="10" t="s">
        <v>301</v>
      </c>
      <c r="E4" s="10" t="s">
        <v>302</v>
      </c>
      <c r="F4" s="10" t="s">
        <v>291</v>
      </c>
      <c r="G4" s="10" t="s">
        <v>303</v>
      </c>
      <c r="H4" s="10" t="s">
        <v>304</v>
      </c>
      <c r="I4" s="10" t="s">
        <v>294</v>
      </c>
      <c r="J4" s="10" t="s">
        <v>88</v>
      </c>
    </row>
    <row r="5" customFormat="false" ht="96" hidden="false" customHeight="true" outlineLevel="0" collapsed="false">
      <c r="A5" s="16" t="str">
        <f aca="false">IF(D5="","","BUG-"&amp;TEXT(ROW()-1,"000"))</f>
        <v>BUG-004</v>
      </c>
      <c r="B5" s="10" t="s">
        <v>305</v>
      </c>
      <c r="C5" s="10" t="s">
        <v>288</v>
      </c>
      <c r="D5" s="10" t="s">
        <v>306</v>
      </c>
      <c r="E5" s="10" t="s">
        <v>307</v>
      </c>
      <c r="F5" s="10" t="s">
        <v>308</v>
      </c>
      <c r="G5" s="10" t="s">
        <v>309</v>
      </c>
      <c r="H5" s="10" t="s">
        <v>310</v>
      </c>
      <c r="I5" s="10" t="s">
        <v>294</v>
      </c>
      <c r="J5" s="10" t="s">
        <v>105</v>
      </c>
    </row>
    <row r="6" customFormat="false" ht="96" hidden="false" customHeight="true" outlineLevel="0" collapsed="false">
      <c r="A6" s="16" t="str">
        <f aca="false">IF(D6="","","BUG-"&amp;TEXT(ROW()-1,"000"))</f>
        <v>BUG-005</v>
      </c>
      <c r="B6" s="10" t="s">
        <v>299</v>
      </c>
      <c r="C6" s="10" t="s">
        <v>288</v>
      </c>
      <c r="D6" s="10" t="s">
        <v>311</v>
      </c>
      <c r="E6" s="10" t="s">
        <v>312</v>
      </c>
      <c r="F6" s="10" t="s">
        <v>291</v>
      </c>
      <c r="G6" s="10" t="s">
        <v>313</v>
      </c>
      <c r="H6" s="10" t="s">
        <v>314</v>
      </c>
      <c r="I6" s="10" t="s">
        <v>294</v>
      </c>
      <c r="J6" s="10" t="s">
        <v>192</v>
      </c>
    </row>
    <row r="7" customFormat="false" ht="96" hidden="false" customHeight="true" outlineLevel="0" collapsed="false">
      <c r="A7" s="16" t="str">
        <f aca="false">IF(D7="","","BUG-"&amp;TEXT(ROW()-1,"000"))</f>
        <v>BUG-006</v>
      </c>
      <c r="B7" s="10" t="s">
        <v>315</v>
      </c>
      <c r="C7" s="10" t="s">
        <v>288</v>
      </c>
      <c r="D7" s="10" t="s">
        <v>316</v>
      </c>
      <c r="E7" s="10" t="s">
        <v>317</v>
      </c>
      <c r="F7" s="10" t="s">
        <v>291</v>
      </c>
      <c r="G7" s="10" t="s">
        <v>318</v>
      </c>
      <c r="H7" s="10" t="s">
        <v>319</v>
      </c>
      <c r="I7" s="10" t="s">
        <v>294</v>
      </c>
      <c r="J7" s="10" t="s">
        <v>88</v>
      </c>
    </row>
    <row r="8" customFormat="false" ht="96" hidden="false" customHeight="true" outlineLevel="0" collapsed="false">
      <c r="A8" s="16" t="str">
        <f aca="false">IF(D8="","","BUG-"&amp;TEXT(ROW()-1,"000"))</f>
        <v>BUG-007</v>
      </c>
      <c r="B8" s="10" t="s">
        <v>287</v>
      </c>
      <c r="C8" s="10" t="s">
        <v>300</v>
      </c>
      <c r="D8" s="10" t="s">
        <v>320</v>
      </c>
      <c r="E8" s="10" t="s">
        <v>321</v>
      </c>
      <c r="F8" s="10" t="s">
        <v>308</v>
      </c>
      <c r="G8" s="10" t="s">
        <v>322</v>
      </c>
      <c r="H8" s="10" t="s">
        <v>323</v>
      </c>
      <c r="I8" s="10" t="s">
        <v>294</v>
      </c>
      <c r="J8" s="10" t="s">
        <v>80</v>
      </c>
    </row>
    <row r="9" customFormat="false" ht="96" hidden="false" customHeight="true" outlineLevel="0" collapsed="false">
      <c r="A9" s="16" t="str">
        <f aca="false">IF(D9="","","BUG-"&amp;TEXT(ROW()-1,"000"))</f>
        <v>BUG-008</v>
      </c>
      <c r="B9" s="10" t="s">
        <v>305</v>
      </c>
      <c r="C9" s="10" t="s">
        <v>300</v>
      </c>
      <c r="D9" s="10" t="s">
        <v>324</v>
      </c>
      <c r="E9" s="10" t="s">
        <v>325</v>
      </c>
      <c r="F9" s="10" t="s">
        <v>308</v>
      </c>
      <c r="G9" s="10" t="s">
        <v>326</v>
      </c>
      <c r="H9" s="10" t="s">
        <v>327</v>
      </c>
      <c r="I9" s="10" t="s">
        <v>294</v>
      </c>
      <c r="J9" s="10" t="s">
        <v>145</v>
      </c>
    </row>
    <row r="10" customFormat="false" ht="96" hidden="false" customHeight="true" outlineLevel="0" collapsed="false">
      <c r="A10" s="16" t="str">
        <f aca="false">IF(D10="","","BUG-"&amp;TEXT(ROW()-1,"000"))</f>
        <v>BUG-009</v>
      </c>
      <c r="B10" s="10" t="s">
        <v>299</v>
      </c>
      <c r="C10" s="10" t="s">
        <v>288</v>
      </c>
      <c r="D10" s="10" t="s">
        <v>328</v>
      </c>
      <c r="E10" s="10" t="s">
        <v>329</v>
      </c>
      <c r="F10" s="10" t="s">
        <v>308</v>
      </c>
      <c r="G10" s="10" t="s">
        <v>330</v>
      </c>
      <c r="H10" s="10" t="s">
        <v>331</v>
      </c>
      <c r="I10" s="10" t="s">
        <v>294</v>
      </c>
      <c r="J10" s="10" t="s">
        <v>216</v>
      </c>
    </row>
    <row r="11" customFormat="false" ht="96" hidden="false" customHeight="true" outlineLevel="0" collapsed="false">
      <c r="A11" s="16" t="str">
        <f aca="false">IF(D11="","","BUG-"&amp;TEXT(ROW()-1,"000"))</f>
        <v>BUG-010</v>
      </c>
      <c r="B11" s="10" t="s">
        <v>299</v>
      </c>
      <c r="C11" s="10" t="s">
        <v>300</v>
      </c>
      <c r="D11" s="10" t="s">
        <v>332</v>
      </c>
      <c r="E11" s="10" t="s">
        <v>333</v>
      </c>
      <c r="F11" s="10" t="s">
        <v>291</v>
      </c>
      <c r="G11" s="10" t="s">
        <v>334</v>
      </c>
      <c r="H11" s="10" t="s">
        <v>335</v>
      </c>
      <c r="I11" s="10" t="s">
        <v>294</v>
      </c>
      <c r="J11" s="10" t="s">
        <v>247</v>
      </c>
    </row>
    <row r="12" customFormat="false" ht="96" hidden="false" customHeight="true" outlineLevel="0" collapsed="false">
      <c r="A12" s="16" t="str">
        <f aca="false">IF(D12="","","BUG-"&amp;TEXT(ROW()-1,"000"))</f>
        <v>BUG-011</v>
      </c>
      <c r="B12" s="10" t="s">
        <v>299</v>
      </c>
      <c r="C12" s="10" t="s">
        <v>300</v>
      </c>
      <c r="D12" s="10" t="s">
        <v>336</v>
      </c>
      <c r="E12" s="10" t="s">
        <v>337</v>
      </c>
      <c r="F12" s="10" t="s">
        <v>291</v>
      </c>
      <c r="G12" s="10" t="s">
        <v>338</v>
      </c>
      <c r="H12" s="10" t="s">
        <v>339</v>
      </c>
      <c r="I12" s="10" t="s">
        <v>294</v>
      </c>
      <c r="J12" s="10" t="s">
        <v>251</v>
      </c>
    </row>
    <row r="13" customFormat="false" ht="31.5" hidden="false" customHeight="true" outlineLevel="0" collapsed="false">
      <c r="A13" s="16" t="str">
        <f aca="false">IF(D13="","","BUG-"&amp;TEXT(ROW()-1,"000"))</f>
        <v/>
      </c>
      <c r="B13" s="10"/>
      <c r="C13" s="10"/>
      <c r="D13" s="10"/>
      <c r="E13" s="10"/>
      <c r="F13" s="10"/>
      <c r="G13" s="10"/>
      <c r="H13" s="10"/>
      <c r="I13" s="10"/>
      <c r="J13" s="10"/>
    </row>
    <row r="14" customFormat="false" ht="31.5" hidden="false" customHeight="true" outlineLevel="0" collapsed="false">
      <c r="A14" s="16" t="str">
        <f aca="false">IF(D14="","","BUG-"&amp;TEXT(ROW()-1,"000"))</f>
        <v/>
      </c>
      <c r="B14" s="10"/>
      <c r="C14" s="10"/>
      <c r="D14" s="10"/>
      <c r="E14" s="10"/>
      <c r="F14" s="10"/>
      <c r="G14" s="10"/>
      <c r="H14" s="10"/>
      <c r="I14" s="10"/>
      <c r="J14" s="10"/>
    </row>
    <row r="15" customFormat="false" ht="31.5" hidden="false" customHeight="true" outlineLevel="0" collapsed="false">
      <c r="A15" s="16" t="str">
        <f aca="false">IF(D15="","","BUG-"&amp;TEXT(ROW()-1,"000"))</f>
        <v/>
      </c>
      <c r="B15" s="10"/>
      <c r="C15" s="10"/>
      <c r="D15" s="10"/>
      <c r="E15" s="10"/>
      <c r="F15" s="10"/>
      <c r="G15" s="10"/>
      <c r="H15" s="10"/>
      <c r="I15" s="10"/>
      <c r="J15" s="10"/>
    </row>
    <row r="16" customFormat="false" ht="31.5" hidden="false" customHeight="true" outlineLevel="0" collapsed="false">
      <c r="A16" s="16" t="str">
        <f aca="false">IF(D16="","","BUG-"&amp;TEXT(ROW()-1,"000"))</f>
        <v/>
      </c>
      <c r="B16" s="10"/>
      <c r="C16" s="10"/>
      <c r="D16" s="10"/>
      <c r="E16" s="10"/>
      <c r="F16" s="10"/>
      <c r="G16" s="10"/>
      <c r="H16" s="10"/>
      <c r="I16" s="10"/>
      <c r="J16" s="10"/>
    </row>
    <row r="17" customFormat="false" ht="31.5" hidden="false" customHeight="true" outlineLevel="0" collapsed="false">
      <c r="A17" s="16" t="str">
        <f aca="false">IF(D17="","","BUG-"&amp;TEXT(ROW()-1,"000"))</f>
        <v/>
      </c>
      <c r="B17" s="10"/>
      <c r="C17" s="10"/>
      <c r="D17" s="10"/>
      <c r="E17" s="10"/>
      <c r="F17" s="10"/>
      <c r="G17" s="10"/>
      <c r="H17" s="10"/>
      <c r="I17" s="10"/>
      <c r="J17" s="10"/>
    </row>
    <row r="18" customFormat="false" ht="31.5" hidden="false" customHeight="true" outlineLevel="0" collapsed="false">
      <c r="A18" s="16" t="str">
        <f aca="false">IF(D18="","","BUG-"&amp;TEXT(ROW()-1,"000"))</f>
        <v/>
      </c>
      <c r="B18" s="10"/>
      <c r="C18" s="10"/>
      <c r="D18" s="10"/>
      <c r="E18" s="10"/>
      <c r="F18" s="10"/>
      <c r="G18" s="10"/>
      <c r="H18" s="10"/>
      <c r="I18" s="10"/>
      <c r="J18" s="10"/>
    </row>
    <row r="19" customFormat="false" ht="31.5" hidden="false" customHeight="true" outlineLevel="0" collapsed="false">
      <c r="A19" s="16" t="str">
        <f aca="false">IF(D19="","","BUG-"&amp;TEXT(ROW()-1,"000"))</f>
        <v/>
      </c>
      <c r="B19" s="10"/>
      <c r="C19" s="10"/>
      <c r="D19" s="10"/>
      <c r="E19" s="10"/>
      <c r="F19" s="10"/>
      <c r="G19" s="10"/>
      <c r="H19" s="10"/>
      <c r="I19" s="10"/>
      <c r="J19" s="10"/>
    </row>
    <row r="20" customFormat="false" ht="31.5" hidden="false" customHeight="true" outlineLevel="0" collapsed="false">
      <c r="A20" s="16" t="str">
        <f aca="false">IF(D20="","","BUG-"&amp;TEXT(ROW()-1,"000"))</f>
        <v/>
      </c>
      <c r="B20" s="10"/>
      <c r="C20" s="10"/>
      <c r="D20" s="10"/>
      <c r="E20" s="10"/>
      <c r="F20" s="10"/>
      <c r="G20" s="10"/>
      <c r="H20" s="10"/>
      <c r="I20" s="10"/>
      <c r="J20" s="10"/>
    </row>
    <row r="21" customFormat="false" ht="31.5" hidden="false" customHeight="true" outlineLevel="0" collapsed="false">
      <c r="A21" s="16" t="str">
        <f aca="false">IF(D21="","","BUG-"&amp;TEXT(ROW()-1,"000"))</f>
        <v/>
      </c>
      <c r="B21" s="10"/>
      <c r="C21" s="10"/>
      <c r="D21" s="10"/>
      <c r="E21" s="10"/>
      <c r="F21" s="10"/>
      <c r="G21" s="10"/>
      <c r="H21" s="10"/>
      <c r="I21" s="10"/>
      <c r="J21" s="10"/>
    </row>
    <row r="22" customFormat="false" ht="31.5" hidden="false" customHeight="true" outlineLevel="0" collapsed="false">
      <c r="A22" s="16" t="str">
        <f aca="false">IF(D22="","","BUG-"&amp;TEXT(ROW()-1,"000"))</f>
        <v/>
      </c>
      <c r="B22" s="10"/>
      <c r="C22" s="10"/>
      <c r="D22" s="10"/>
      <c r="E22" s="10"/>
      <c r="F22" s="10"/>
      <c r="G22" s="10"/>
      <c r="H22" s="10"/>
      <c r="I22" s="10"/>
      <c r="J22" s="10"/>
    </row>
    <row r="23" customFormat="false" ht="31.5" hidden="false" customHeight="true" outlineLevel="0" collapsed="false">
      <c r="A23" s="16" t="str">
        <f aca="false">IF(D23="","","BUG-"&amp;TEXT(ROW()-1,"000"))</f>
        <v/>
      </c>
      <c r="B23" s="10"/>
      <c r="C23" s="10"/>
      <c r="D23" s="10"/>
      <c r="E23" s="10"/>
      <c r="F23" s="10"/>
      <c r="G23" s="10"/>
      <c r="H23" s="10"/>
      <c r="I23" s="10"/>
      <c r="J23" s="10"/>
    </row>
    <row r="24" customFormat="false" ht="31.5" hidden="false" customHeight="true" outlineLevel="0" collapsed="false">
      <c r="A24" s="16" t="str">
        <f aca="false">IF(D24="","","BUG-"&amp;TEXT(ROW()-1,"000"))</f>
        <v/>
      </c>
      <c r="B24" s="10"/>
      <c r="C24" s="10"/>
      <c r="D24" s="10"/>
      <c r="E24" s="10"/>
      <c r="F24" s="10"/>
      <c r="G24" s="10"/>
      <c r="H24" s="10"/>
      <c r="I24" s="10"/>
      <c r="J24" s="10"/>
    </row>
    <row r="25" customFormat="false" ht="31.5" hidden="false" customHeight="true" outlineLevel="0" collapsed="false">
      <c r="A25" s="16" t="str">
        <f aca="false">IF(D25="","","BUG-"&amp;TEXT(ROW()-1,"000"))</f>
        <v/>
      </c>
      <c r="B25" s="10"/>
      <c r="C25" s="10"/>
      <c r="D25" s="10"/>
      <c r="E25" s="10"/>
      <c r="F25" s="10"/>
      <c r="G25" s="10"/>
      <c r="H25" s="10"/>
      <c r="I25" s="10"/>
      <c r="J25" s="10"/>
    </row>
    <row r="26" customFormat="false" ht="31.5" hidden="false" customHeight="true" outlineLevel="0" collapsed="false">
      <c r="A26" s="16" t="str">
        <f aca="false">IF(D26="","","BUG-"&amp;TEXT(ROW()-1,"000"))</f>
        <v/>
      </c>
      <c r="B26" s="10"/>
      <c r="C26" s="10"/>
      <c r="D26" s="10"/>
      <c r="E26" s="10"/>
      <c r="F26" s="10"/>
      <c r="G26" s="10"/>
      <c r="H26" s="10"/>
      <c r="I26" s="10"/>
      <c r="J26" s="10"/>
    </row>
    <row r="27" customFormat="false" ht="31.5" hidden="false" customHeight="true" outlineLevel="0" collapsed="false">
      <c r="A27" s="16" t="str">
        <f aca="false">IF(D27="","","BUG-"&amp;TEXT(ROW()-1,"000"))</f>
        <v/>
      </c>
      <c r="B27" s="10"/>
      <c r="C27" s="10"/>
      <c r="D27" s="10"/>
      <c r="E27" s="10"/>
      <c r="F27" s="10"/>
      <c r="G27" s="10"/>
      <c r="H27" s="10"/>
      <c r="I27" s="10"/>
      <c r="J27" s="10"/>
    </row>
    <row r="28" customFormat="false" ht="31.5" hidden="false" customHeight="true" outlineLevel="0" collapsed="false">
      <c r="A28" s="16" t="str">
        <f aca="false">IF(D28="","","BUG-"&amp;TEXT(ROW()-1,"000"))</f>
        <v/>
      </c>
      <c r="B28" s="10"/>
      <c r="C28" s="10"/>
      <c r="D28" s="10"/>
      <c r="E28" s="10"/>
      <c r="F28" s="10"/>
      <c r="G28" s="10"/>
      <c r="H28" s="10"/>
      <c r="I28" s="10"/>
      <c r="J28" s="10"/>
    </row>
    <row r="29" customFormat="false" ht="31.5" hidden="false" customHeight="true" outlineLevel="0" collapsed="false">
      <c r="A29" s="16" t="str">
        <f aca="false">IF(D29="","","BUG-"&amp;TEXT(ROW()-1,"000"))</f>
        <v/>
      </c>
      <c r="B29" s="10"/>
      <c r="C29" s="10"/>
      <c r="D29" s="10"/>
      <c r="E29" s="10"/>
      <c r="F29" s="10"/>
      <c r="G29" s="10"/>
      <c r="H29" s="10"/>
      <c r="I29" s="10"/>
      <c r="J29" s="10"/>
    </row>
    <row r="30" customFormat="false" ht="31.5" hidden="false" customHeight="true" outlineLevel="0" collapsed="false">
      <c r="A30" s="16" t="str">
        <f aca="false">IF(D30="","","BUG-"&amp;TEXT(ROW()-1,"000"))</f>
        <v/>
      </c>
      <c r="B30" s="10"/>
      <c r="C30" s="10"/>
      <c r="D30" s="10"/>
      <c r="E30" s="10"/>
      <c r="F30" s="10"/>
      <c r="G30" s="10"/>
      <c r="H30" s="10"/>
      <c r="I30" s="10"/>
      <c r="J30" s="10"/>
    </row>
    <row r="31" customFormat="false" ht="31.5" hidden="false" customHeight="true" outlineLevel="0" collapsed="false">
      <c r="A31" s="16" t="str">
        <f aca="false">IF(D31="","","BUG-"&amp;TEXT(ROW()-1,"000"))</f>
        <v/>
      </c>
      <c r="B31" s="10"/>
      <c r="C31" s="10"/>
      <c r="D31" s="10"/>
      <c r="E31" s="10"/>
      <c r="F31" s="10"/>
      <c r="G31" s="10"/>
      <c r="H31" s="10"/>
      <c r="I31" s="10"/>
      <c r="J31" s="10"/>
    </row>
    <row r="32" customFormat="false" ht="31.5" hidden="false" customHeight="true" outlineLevel="0" collapsed="false">
      <c r="A32" s="16" t="str">
        <f aca="false">IF(D32="","","BUG-"&amp;TEXT(ROW()-1,"000"))</f>
        <v/>
      </c>
      <c r="B32" s="10"/>
      <c r="C32" s="10"/>
      <c r="D32" s="10"/>
      <c r="E32" s="10"/>
      <c r="F32" s="10"/>
      <c r="G32" s="10"/>
      <c r="H32" s="10"/>
      <c r="I32" s="10"/>
      <c r="J32" s="10"/>
    </row>
    <row r="33" customFormat="false" ht="31.5" hidden="false" customHeight="true" outlineLevel="0" collapsed="false">
      <c r="A33" s="16" t="str">
        <f aca="false">IF(D33="","","BUG-"&amp;TEXT(ROW()-1,"000"))</f>
        <v/>
      </c>
      <c r="B33" s="10"/>
      <c r="C33" s="10"/>
      <c r="D33" s="10"/>
      <c r="E33" s="10"/>
      <c r="F33" s="10"/>
      <c r="G33" s="10"/>
      <c r="H33" s="10"/>
      <c r="I33" s="10"/>
      <c r="J33" s="10"/>
    </row>
    <row r="34" customFormat="false" ht="31.5" hidden="false" customHeight="true" outlineLevel="0" collapsed="false">
      <c r="A34" s="16" t="str">
        <f aca="false">IF(D34="","","BUG-"&amp;TEXT(ROW()-1,"000"))</f>
        <v/>
      </c>
      <c r="B34" s="10"/>
      <c r="C34" s="10"/>
      <c r="D34" s="10"/>
      <c r="E34" s="10"/>
      <c r="F34" s="10"/>
      <c r="G34" s="10"/>
      <c r="H34" s="10"/>
      <c r="I34" s="10"/>
      <c r="J34" s="10"/>
    </row>
    <row r="35" customFormat="false" ht="31.5" hidden="false" customHeight="true" outlineLevel="0" collapsed="false">
      <c r="A35" s="16" t="str">
        <f aca="false">IF(D35="","","BUG-"&amp;TEXT(ROW()-1,"000"))</f>
        <v/>
      </c>
      <c r="B35" s="10"/>
      <c r="C35" s="10"/>
      <c r="D35" s="10"/>
      <c r="E35" s="10"/>
      <c r="F35" s="10"/>
      <c r="G35" s="10"/>
      <c r="H35" s="10"/>
      <c r="I35" s="10"/>
      <c r="J35" s="10"/>
    </row>
    <row r="36" customFormat="false" ht="31.5" hidden="false" customHeight="true" outlineLevel="0" collapsed="false">
      <c r="A36" s="16" t="str">
        <f aca="false">IF(D36="","","BUG-"&amp;TEXT(ROW()-1,"000"))</f>
        <v/>
      </c>
      <c r="B36" s="10"/>
      <c r="C36" s="10"/>
      <c r="D36" s="10"/>
      <c r="E36" s="10"/>
      <c r="F36" s="10"/>
      <c r="G36" s="10"/>
      <c r="H36" s="10"/>
      <c r="I36" s="10"/>
      <c r="J36" s="10"/>
    </row>
    <row r="37" customFormat="false" ht="31.5" hidden="false" customHeight="true" outlineLevel="0" collapsed="false">
      <c r="A37" s="16" t="str">
        <f aca="false">IF(D37="","","BUG-"&amp;TEXT(ROW()-1,"000"))</f>
        <v/>
      </c>
      <c r="B37" s="10"/>
      <c r="C37" s="10"/>
      <c r="D37" s="10"/>
      <c r="E37" s="10"/>
      <c r="F37" s="10"/>
      <c r="G37" s="10"/>
      <c r="H37" s="10"/>
      <c r="I37" s="10"/>
      <c r="J37" s="10"/>
    </row>
    <row r="38" customFormat="false" ht="31.5" hidden="false" customHeight="true" outlineLevel="0" collapsed="false">
      <c r="A38" s="16" t="str">
        <f aca="false">IF(D38="","","BUG-"&amp;TEXT(ROW()-1,"000"))</f>
        <v/>
      </c>
      <c r="B38" s="10"/>
      <c r="C38" s="10"/>
      <c r="D38" s="10"/>
      <c r="E38" s="10"/>
      <c r="F38" s="10"/>
      <c r="G38" s="10"/>
      <c r="H38" s="10"/>
      <c r="I38" s="10"/>
      <c r="J38" s="10"/>
    </row>
    <row r="39" customFormat="false" ht="31.5" hidden="false" customHeight="true" outlineLevel="0" collapsed="false">
      <c r="A39" s="16" t="str">
        <f aca="false">IF(D39="","","BUG-"&amp;TEXT(ROW()-1,"000"))</f>
        <v/>
      </c>
      <c r="B39" s="10"/>
      <c r="C39" s="10"/>
      <c r="D39" s="10"/>
      <c r="E39" s="10"/>
      <c r="F39" s="10"/>
      <c r="G39" s="10"/>
      <c r="H39" s="10"/>
      <c r="I39" s="10"/>
      <c r="J39" s="10"/>
    </row>
    <row r="40" customFormat="false" ht="31.5" hidden="false" customHeight="true" outlineLevel="0" collapsed="false">
      <c r="A40" s="16" t="str">
        <f aca="false">IF(D40="","","BUG-"&amp;TEXT(ROW()-1,"000"))</f>
        <v/>
      </c>
      <c r="B40" s="10"/>
      <c r="C40" s="10"/>
      <c r="D40" s="10"/>
      <c r="E40" s="10"/>
      <c r="F40" s="10"/>
      <c r="G40" s="10"/>
      <c r="H40" s="10"/>
      <c r="I40" s="10"/>
      <c r="J40" s="10"/>
    </row>
    <row r="41" customFormat="false" ht="31.5" hidden="false" customHeight="true" outlineLevel="0" collapsed="false">
      <c r="A41" s="16" t="str">
        <f aca="false">IF(D41="","","BUG-"&amp;TEXT(ROW()-1,"000"))</f>
        <v/>
      </c>
      <c r="B41" s="10"/>
      <c r="C41" s="10"/>
      <c r="D41" s="10"/>
      <c r="E41" s="10"/>
      <c r="F41" s="10"/>
      <c r="G41" s="10"/>
      <c r="H41" s="10"/>
      <c r="I41" s="10"/>
      <c r="J41" s="10"/>
    </row>
    <row r="42" customFormat="false" ht="31.5" hidden="false" customHeight="true" outlineLevel="0" collapsed="false">
      <c r="A42" s="16" t="str">
        <f aca="false">IF(D42="","","BUG-"&amp;TEXT(ROW()-1,"000"))</f>
        <v/>
      </c>
      <c r="B42" s="10"/>
      <c r="C42" s="10"/>
      <c r="D42" s="10"/>
      <c r="E42" s="10"/>
      <c r="F42" s="10"/>
      <c r="G42" s="10"/>
      <c r="H42" s="10"/>
      <c r="I42" s="10"/>
      <c r="J42" s="10"/>
    </row>
    <row r="43" customFormat="false" ht="31.5" hidden="false" customHeight="true" outlineLevel="0" collapsed="false">
      <c r="A43" s="16" t="str">
        <f aca="false">IF(D43="","","BUG-"&amp;TEXT(ROW()-1,"000"))</f>
        <v/>
      </c>
      <c r="B43" s="10"/>
      <c r="C43" s="10"/>
      <c r="D43" s="10"/>
      <c r="E43" s="10"/>
      <c r="F43" s="10"/>
      <c r="G43" s="10"/>
      <c r="H43" s="10"/>
      <c r="I43" s="10"/>
      <c r="J43" s="10"/>
    </row>
    <row r="44" customFormat="false" ht="31.5" hidden="false" customHeight="true" outlineLevel="0" collapsed="false">
      <c r="A44" s="16" t="str">
        <f aca="false">IF(D44="","","BUG-"&amp;TEXT(ROW()-1,"000"))</f>
        <v/>
      </c>
      <c r="B44" s="10"/>
      <c r="C44" s="10"/>
      <c r="D44" s="10"/>
      <c r="E44" s="10"/>
      <c r="F44" s="10"/>
      <c r="G44" s="10"/>
      <c r="H44" s="10"/>
      <c r="I44" s="10"/>
      <c r="J44" s="10"/>
    </row>
    <row r="45" customFormat="false" ht="31.5" hidden="false" customHeight="true" outlineLevel="0" collapsed="false">
      <c r="A45" s="16" t="str">
        <f aca="false">IF(D45="","","BUG-"&amp;TEXT(ROW()-1,"000"))</f>
        <v/>
      </c>
      <c r="B45" s="10"/>
      <c r="C45" s="10"/>
      <c r="D45" s="10"/>
      <c r="E45" s="10"/>
      <c r="F45" s="10"/>
      <c r="G45" s="10"/>
      <c r="H45" s="10"/>
      <c r="I45" s="10"/>
      <c r="J45" s="10"/>
    </row>
    <row r="46" customFormat="false" ht="31.5" hidden="false" customHeight="true" outlineLevel="0" collapsed="false">
      <c r="A46" s="16" t="str">
        <f aca="false">IF(D46="","","BUG-"&amp;TEXT(ROW()-1,"000"))</f>
        <v/>
      </c>
      <c r="B46" s="10"/>
      <c r="C46" s="10"/>
      <c r="D46" s="10"/>
      <c r="E46" s="10"/>
      <c r="F46" s="10"/>
      <c r="G46" s="10"/>
      <c r="H46" s="10"/>
      <c r="I46" s="10"/>
      <c r="J46" s="10"/>
    </row>
    <row r="47" customFormat="false" ht="31.5" hidden="false" customHeight="true" outlineLevel="0" collapsed="false">
      <c r="A47" s="16" t="str">
        <f aca="false">IF(D47="","","BUG-"&amp;TEXT(ROW()-1,"000"))</f>
        <v/>
      </c>
      <c r="B47" s="10"/>
      <c r="C47" s="10"/>
      <c r="D47" s="10"/>
      <c r="E47" s="10"/>
      <c r="F47" s="10"/>
      <c r="G47" s="10"/>
      <c r="H47" s="10"/>
      <c r="I47" s="10"/>
      <c r="J47" s="10"/>
    </row>
    <row r="48" customFormat="false" ht="31.5" hidden="false" customHeight="true" outlineLevel="0" collapsed="false">
      <c r="A48" s="16" t="str">
        <f aca="false">IF(D48="","","BUG-"&amp;TEXT(ROW()-1,"000"))</f>
        <v/>
      </c>
      <c r="B48" s="10"/>
      <c r="C48" s="10"/>
      <c r="D48" s="10"/>
      <c r="E48" s="10"/>
      <c r="F48" s="10"/>
      <c r="G48" s="10"/>
      <c r="H48" s="10"/>
      <c r="I48" s="10"/>
      <c r="J48" s="10"/>
    </row>
    <row r="49" customFormat="false" ht="31.5" hidden="false" customHeight="true" outlineLevel="0" collapsed="false">
      <c r="A49" s="16" t="str">
        <f aca="false">IF(D49="","","BUG-"&amp;TEXT(ROW()-1,"000"))</f>
        <v/>
      </c>
      <c r="B49" s="10"/>
      <c r="C49" s="10"/>
      <c r="D49" s="10"/>
      <c r="E49" s="10"/>
      <c r="F49" s="10"/>
      <c r="G49" s="10"/>
      <c r="H49" s="10"/>
      <c r="I49" s="10"/>
      <c r="J49" s="10"/>
    </row>
    <row r="50" customFormat="false" ht="31.5" hidden="false" customHeight="true" outlineLevel="0" collapsed="false">
      <c r="A50" s="16" t="str">
        <f aca="false">IF(D50="","","BUG-"&amp;TEXT(ROW()-1,"000"))</f>
        <v/>
      </c>
      <c r="B50" s="10"/>
      <c r="C50" s="10"/>
      <c r="D50" s="10"/>
      <c r="E50" s="10"/>
      <c r="F50" s="10"/>
      <c r="G50" s="10"/>
      <c r="H50" s="10"/>
      <c r="I50" s="10"/>
      <c r="J50" s="10"/>
    </row>
    <row r="51" customFormat="false" ht="31.5" hidden="false" customHeight="true" outlineLevel="0" collapsed="false">
      <c r="A51" s="16" t="str">
        <f aca="false">IF(D51="","","BUG-"&amp;TEXT(ROW()-1,"000"))</f>
        <v/>
      </c>
      <c r="B51" s="10"/>
      <c r="C51" s="10"/>
      <c r="D51" s="10"/>
      <c r="E51" s="10"/>
      <c r="F51" s="10"/>
      <c r="G51" s="10"/>
      <c r="H51" s="10"/>
      <c r="I51" s="10"/>
      <c r="J51" s="10"/>
    </row>
    <row r="52" customFormat="false" ht="31.5" hidden="false" customHeight="true" outlineLevel="0" collapsed="false">
      <c r="A52" s="16" t="str">
        <f aca="false">IF(D52="","","BUG-"&amp;TEXT(ROW()-1,"000"))</f>
        <v/>
      </c>
      <c r="B52" s="10"/>
      <c r="C52" s="10"/>
      <c r="D52" s="10"/>
      <c r="E52" s="10"/>
      <c r="F52" s="10"/>
      <c r="G52" s="10"/>
      <c r="H52" s="10"/>
      <c r="I52" s="10"/>
      <c r="J52" s="10"/>
    </row>
    <row r="53" customFormat="false" ht="31.5" hidden="false" customHeight="true" outlineLevel="0" collapsed="false">
      <c r="A53" s="16" t="str">
        <f aca="false">IF(D53="","","BUG-"&amp;TEXT(ROW()-1,"000"))</f>
        <v/>
      </c>
      <c r="B53" s="10"/>
      <c r="C53" s="10"/>
      <c r="D53" s="10"/>
      <c r="E53" s="10"/>
      <c r="F53" s="10"/>
      <c r="G53" s="10"/>
      <c r="H53" s="10"/>
      <c r="I53" s="10"/>
      <c r="J53" s="10"/>
    </row>
    <row r="54" customFormat="false" ht="31.5" hidden="false" customHeight="true" outlineLevel="0" collapsed="false">
      <c r="A54" s="16" t="str">
        <f aca="false">IF(D54="","","BUG-"&amp;TEXT(ROW()-1,"000"))</f>
        <v/>
      </c>
      <c r="B54" s="10"/>
      <c r="C54" s="10"/>
      <c r="D54" s="10"/>
      <c r="E54" s="10"/>
      <c r="F54" s="10"/>
      <c r="G54" s="10"/>
      <c r="H54" s="10"/>
      <c r="I54" s="10"/>
      <c r="J54" s="10"/>
    </row>
    <row r="55" customFormat="false" ht="31.5" hidden="false" customHeight="true" outlineLevel="0" collapsed="false">
      <c r="A55" s="16" t="str">
        <f aca="false">IF(D55="","","BUG-"&amp;TEXT(ROW()-1,"000"))</f>
        <v/>
      </c>
      <c r="B55" s="10"/>
      <c r="C55" s="10"/>
      <c r="D55" s="10"/>
      <c r="E55" s="10"/>
      <c r="F55" s="10"/>
      <c r="G55" s="10"/>
      <c r="H55" s="10"/>
      <c r="I55" s="10"/>
      <c r="J55" s="10"/>
    </row>
    <row r="56" customFormat="false" ht="31.5" hidden="false" customHeight="true" outlineLevel="0" collapsed="false">
      <c r="A56" s="16" t="str">
        <f aca="false">IF(D56="","","BUG-"&amp;TEXT(ROW()-1,"000"))</f>
        <v/>
      </c>
      <c r="B56" s="10"/>
      <c r="C56" s="10"/>
      <c r="D56" s="10"/>
      <c r="E56" s="10"/>
      <c r="F56" s="10"/>
      <c r="G56" s="10"/>
      <c r="H56" s="10"/>
      <c r="I56" s="10"/>
      <c r="J56" s="10"/>
    </row>
    <row r="57" customFormat="false" ht="31.5" hidden="false" customHeight="true" outlineLevel="0" collapsed="false">
      <c r="A57" s="16" t="str">
        <f aca="false">IF(D57="","","BUG-"&amp;TEXT(ROW()-1,"000"))</f>
        <v/>
      </c>
      <c r="B57" s="10"/>
      <c r="C57" s="10"/>
      <c r="D57" s="10"/>
      <c r="E57" s="10"/>
      <c r="F57" s="10"/>
      <c r="G57" s="10"/>
      <c r="H57" s="10"/>
      <c r="I57" s="10"/>
      <c r="J57" s="10"/>
    </row>
    <row r="58" customFormat="false" ht="31.5" hidden="false" customHeight="true" outlineLevel="0" collapsed="false">
      <c r="A58" s="16" t="str">
        <f aca="false">IF(D58="","","BUG-"&amp;TEXT(ROW()-1,"000"))</f>
        <v/>
      </c>
      <c r="B58" s="10"/>
      <c r="C58" s="10"/>
      <c r="D58" s="10"/>
      <c r="E58" s="10"/>
      <c r="F58" s="10"/>
      <c r="G58" s="10"/>
      <c r="H58" s="10"/>
      <c r="I58" s="10"/>
      <c r="J58" s="10"/>
    </row>
    <row r="59" customFormat="false" ht="31.5" hidden="false" customHeight="true" outlineLevel="0" collapsed="false">
      <c r="A59" s="16" t="str">
        <f aca="false">IF(D59="","","BUG-"&amp;TEXT(ROW()-1,"000"))</f>
        <v/>
      </c>
      <c r="B59" s="10"/>
      <c r="C59" s="10"/>
      <c r="D59" s="10"/>
      <c r="E59" s="10"/>
      <c r="F59" s="10"/>
      <c r="G59" s="10"/>
      <c r="H59" s="10"/>
      <c r="I59" s="10"/>
      <c r="J59" s="10"/>
    </row>
    <row r="60" customFormat="false" ht="31.5" hidden="false" customHeight="true" outlineLevel="0" collapsed="false">
      <c r="A60" s="16" t="str">
        <f aca="false">IF(D60="","","BUG-"&amp;TEXT(ROW()-1,"000"))</f>
        <v/>
      </c>
      <c r="B60" s="10"/>
      <c r="C60" s="10"/>
      <c r="D60" s="10"/>
      <c r="E60" s="10"/>
      <c r="F60" s="10"/>
      <c r="G60" s="10"/>
      <c r="H60" s="10"/>
      <c r="I60" s="10"/>
      <c r="J60" s="10"/>
    </row>
    <row r="61" customFormat="false" ht="31.5" hidden="false" customHeight="true" outlineLevel="0" collapsed="false">
      <c r="A61" s="16" t="str">
        <f aca="false">IF(D61="","","BUG-"&amp;TEXT(ROW()-1,"000"))</f>
        <v/>
      </c>
      <c r="B61" s="10"/>
      <c r="C61" s="10"/>
      <c r="D61" s="10"/>
      <c r="E61" s="10"/>
      <c r="F61" s="10"/>
      <c r="G61" s="10"/>
      <c r="H61" s="10"/>
      <c r="I61" s="10"/>
      <c r="J61" s="10"/>
    </row>
    <row r="63" customFormat="false" ht="14.25" hidden="false" customHeight="false" outlineLevel="0" collapsed="false">
      <c r="A63" s="17" t="s">
        <v>340</v>
      </c>
    </row>
    <row r="64" customFormat="false" ht="14.25" hidden="false" customHeight="false" outlineLevel="0" collapsed="false">
      <c r="A64" s="18" t="s">
        <v>341</v>
      </c>
    </row>
  </sheetData>
  <autoFilter ref="A1:J61"/>
  <dataValidations count="3">
    <dataValidation allowBlank="true" errorStyle="stop" operator="between" showDropDown="false" showErrorMessage="false" showInputMessage="false" sqref="C2:C61" type="list">
      <formula1>"Bug,Usability"</formula1>
      <formula2>0</formula2>
    </dataValidation>
    <dataValidation allowBlank="true" errorStyle="stop" operator="between" showDropDown="false" showErrorMessage="false" showInputMessage="false" sqref="F2:F61" type="list">
      <formula1>"0 - Không phải vấn đề,1 - Chỉ là mỹ quan,2 - Nhỏ,3 - Lớn,4 - Thảm hoạ"</formula1>
      <formula2>0</formula2>
    </dataValidation>
    <dataValidation allowBlank="true" errorStyle="stop" operator="between" showDropDown="false" showErrorMessage="false" showInputMessage="false" sqref="B2:B61" type="list">
      <formula1>"A1 - Danh sách Events,A2 - Form Add/Edit Event,A4 - Participants &amp; Reviews,Khác"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2026-07-29T09:07:22Z</dcterms:created>
  <dc:creator>openpyxl</dc:creator>
  <dc:description/>
  <dc:language>en-US</dc:language>
  <cp:lastModifiedBy>ADMIN</cp:lastModifiedBy>
  <dcterms:modified xsi:type="dcterms:W3CDTF">2026-08-03T04:01:31Z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