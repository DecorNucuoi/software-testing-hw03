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7"/>
  </bookViews>
  <sheets>
    <sheet name="Người tham gia" sheetId="1" state="visible" r:id="rId3"/>
    <sheet name="Phiên P1" sheetId="2" state="visible" r:id="rId4"/>
    <sheet name="Phiên P2" sheetId="3" state="visible" r:id="rId5"/>
    <sheet name="Phiên P3" sheetId="4" state="visible" r:id="rId6"/>
    <sheet name="Phiên P4" sheetId="5" state="visible" r:id="rId7"/>
    <sheet name="Phiên P5" sheetId="6" state="visible" r:id="rId8"/>
    <sheet name="SUS" sheetId="7" state="visible" r:id="rId9"/>
    <sheet name="Bảng chỉ số" sheetId="8" state="visible" r:id="rId10"/>
    <sheet name="Phát hiện" sheetId="9" state="visible" r:id="rId11"/>
  </sheets>
  <definedNames>
    <definedName function="false" hidden="true" localSheetId="8" name="_xlnm._FilterDatabase" vbProcedure="false">'Phát hiện'!$A$4:$J$39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<sst xmlns="http://schemas.openxmlformats.org/spreadsheetml/2006/main" count="440" uniqueCount="199">
  <si>
    <t xml:space="preserve">Task 2 — Bảng người tham gia user testing</t>
  </si>
  <si>
    <t xml:space="preserve">Phạm Anh Hào – 23127362 · Kịch bản A · Che 4 số giữa của mọi số liên hệ</t>
  </si>
  <si>
    <t xml:space="preserve">TA có thể gọi ngẫu nhiên 2 người để xác minh. Mạo danh → 0 điểm Task 2 (§12).</t>
  </si>
  <si>
    <t xml:space="preserve">Mã</t>
  </si>
  <si>
    <t xml:space="preserve">Họ và tên</t>
  </si>
  <si>
    <t xml:space="preserve">Vai trò / bối cảnh tổ chức sự kiện</t>
  </si>
  <si>
    <t xml:space="preserve">Liên hệ (đã che)</t>
  </si>
  <si>
    <t xml:space="preserve">Ngày phiên</t>
  </si>
  <si>
    <t xml:space="preserve">Giờ bắt đầu</t>
  </si>
  <si>
    <t xml:space="preserve">Có ghi màn hình?</t>
  </si>
  <si>
    <t xml:space="preserve">Ghi chú</t>
  </si>
  <si>
    <t xml:space="preserve">P1</t>
  </si>
  <si>
    <t xml:space="preserve">Nguyễn Ngọc Quang</t>
  </si>
  <si>
    <t xml:space="preserve">Admin</t>
  </si>
  <si>
    <t xml:space="preserve">098****659</t>
  </si>
  <si>
    <t xml:space="preserve">Không</t>
  </si>
  <si>
    <t xml:space="preserve">P2</t>
  </si>
  <si>
    <t xml:space="preserve">Trần Đức Toản</t>
  </si>
  <si>
    <t xml:space="preserve">31/07/2026</t>
  </si>
  <si>
    <t xml:space="preserve">7h30</t>
  </si>
  <si>
    <t xml:space="preserve">P3</t>
  </si>
  <si>
    <t xml:space="preserve">Vương Khải Phong</t>
  </si>
  <si>
    <t xml:space="preserve">098****154</t>
  </si>
  <si>
    <t xml:space="preserve">16h12</t>
  </si>
  <si>
    <t xml:space="preserve">P4</t>
  </si>
  <si>
    <t xml:space="preserve">Văn Ngọc Quý</t>
  </si>
  <si>
    <t xml:space="preserve">093****572</t>
  </si>
  <si>
    <t xml:space="preserve">03/08/2026</t>
  </si>
  <si>
    <t xml:space="preserve">09:45</t>
  </si>
  <si>
    <t xml:space="preserve">P5</t>
  </si>
  <si>
    <t xml:space="preserve">Hồ Thái Sơn</t>
  </si>
  <si>
    <t xml:space="preserve">077****878</t>
  </si>
  <si>
    <t xml:space="preserve">Quy ước che:  0912345678 → 091****678     ·     nguyenvana@gmail.com → ngu****na@gmail.com</t>
  </si>
  <si>
    <t xml:space="preserve">Phiếu quan sát — P1</t>
  </si>
  <si>
    <t xml:space="preserve">Điền trong lúc phiên đang chạy. Ô vàng là chỗ cần điền.</t>
  </si>
  <si>
    <t xml:space="preserve">Họ tên</t>
  </si>
  <si>
    <t xml:space="preserve">Ngày / giờ</t>
  </si>
  <si>
    <t xml:space="preserve">Tên sự kiện họ tạo (mẫu: [TEST-P1] ...)</t>
  </si>
  <si>
    <t xml:space="preserve">Chỉ số định lượng</t>
  </si>
  <si>
    <t xml:space="preserve">Tác vụ</t>
  </si>
  <si>
    <t xml:space="preserve">Nội dung</t>
  </si>
  <si>
    <t xml:space="preserve">Kết quả</t>
  </si>
  <si>
    <t xml:space="preserve">Thời gian (giây)</t>
  </si>
  <si>
    <t xml:space="preserve">Số lỗi</t>
  </si>
  <si>
    <t xml:space="preserve">Số lần do dự</t>
  </si>
  <si>
    <t xml:space="preserve">Số lần can thiệp</t>
  </si>
  <si>
    <t xml:space="preserve">T1</t>
  </si>
  <si>
    <t xml:space="preserve">Tìm đến được nơi tạo sự kiện mới  →  dừng khi form mở ra</t>
  </si>
  <si>
    <t xml:space="preserve">Hoàn thành</t>
  </si>
  <si>
    <t xml:space="preserve">T2</t>
  </si>
  <si>
    <t xml:space="preserve">Điền thông tin + phát hành cho sinh viên đăng ký, có waitlist  →  dừng khi Published</t>
  </si>
  <si>
    <t xml:space="preserve">T3</t>
  </si>
  <si>
    <t xml:space="preserve">Quay lại tìm sự kiện vừa tạo, nói ra số người đã đăng ký  →  dừng khi họ nói con số</t>
  </si>
  <si>
    <t xml:space="preserve">TỔNG</t>
  </si>
  <si>
    <t xml:space="preserve">T1 đo trên A1 (khả phát hiện) · T2 đo trên A2 (form) · T3 đo trên A1→A4 (tìm lại + đọc số liệu)</t>
  </si>
  <si>
    <t xml:space="preserve">Ghi chép quan sát — điểm vướng, lỗi, do dự, câu nói ra (think aloud)</t>
  </si>
  <si>
    <t xml:space="preserve">Thời điểm</t>
  </si>
  <si>
    <t xml:space="preserve">Màn hình</t>
  </si>
  <si>
    <t xml:space="preserve">Chuyện gì xảy ra / họ nói gì</t>
  </si>
  <si>
    <t xml:space="preserve">Loại</t>
  </si>
  <si>
    <t xml:space="preserve">Ảnh chụp</t>
  </si>
  <si>
    <t xml:space="preserve">Câu hỏi sau tác vụ</t>
  </si>
  <si>
    <t xml:space="preserve">Clarity — Có chỗ nào khiến bạn phải dừng lại đoán nghĩa không?</t>
  </si>
  <si>
    <t xml:space="preserve">Error recovery — Lúc làm sai, bạn có biết cách sửa không?</t>
  </si>
  <si>
    <t xml:space="preserve">Có</t>
  </si>
  <si>
    <t xml:space="preserve">Speed — Bước nào mất nhiều thời gian hơn đáng lẽ?</t>
  </si>
  <si>
    <t xml:space="preserve">Trust — Sau khi Publish, bạn có chắc sự kiện đã lên thật chưa? Vì sao?</t>
  </si>
  <si>
    <t xml:space="preserve">Không, vì không có thông bào nào về việc đã thành công public sự kiện mà nhãy thẳng về màn hình quản lý sự kiện</t>
  </si>
  <si>
    <t xml:space="preserve">Nếu được sửa MỘT thứ duy nhất, bạn sửa gì?</t>
  </si>
  <si>
    <t xml:space="preserve">Bạn mong đợi điều gì xảy ra mà nó đã không xảy ra?</t>
  </si>
  <si>
    <t xml:space="preserve">Phiếu quan sát — P2</t>
  </si>
  <si>
    <t xml:space="preserve">31/07/2026 7h30</t>
  </si>
  <si>
    <t xml:space="preserve">Tên sự kiện họ tạo (mẫu: [TEST-P2] ...)</t>
  </si>
  <si>
    <t xml:space="preserve">Môi trường xanh</t>
  </si>
  <si>
    <t xml:space="preserve">Có vì có thể thấy nó hiện lên trong mục lịch sử</t>
  </si>
  <si>
    <t xml:space="preserve">Cách thiết lập ngày giờ nên cho phép nhập tay</t>
  </si>
  <si>
    <t xml:space="preserve">Phiếu quan sát — P3</t>
  </si>
  <si>
    <t xml:space="preserve">31/7/2026 16h12p</t>
  </si>
  <si>
    <t xml:space="preserve">Tên sự kiện họ tạo (mẫu: [TEST-P3] ...)</t>
  </si>
  <si>
    <t xml:space="preserve">Chinese HSK 3 Test</t>
  </si>
  <si>
    <t xml:space="preserve">Khi tạo form sự kiện</t>
  </si>
  <si>
    <t xml:space="preserve">A2 - Form Add/Edit Event</t>
  </si>
  <si>
    <t xml:space="preserve">Không hiểu chức năng của phần Additional Options</t>
  </si>
  <si>
    <t xml:space="preserve">Điểm vướng</t>
  </si>
  <si>
    <t xml:space="preserve">Không hiểu mục Academic Context</t>
  </si>
  <si>
    <t xml:space="preserve">Không biết</t>
  </si>
  <si>
    <t xml:space="preserve">Phần mô tả sự kiện và chọn thời gian bắt đầu</t>
  </si>
  <si>
    <t xml:space="preserve">Tôi chắc chắn sự kiện đã lên vì tôi đã thấy nó trong bảng quản lý sự kiện</t>
  </si>
  <si>
    <t xml:space="preserve">Tôi sẽ thêm ví dụ cho từng mục nhập liệu khi tạo form giúp người dùng dễ dàng sử dụng hơn</t>
  </si>
  <si>
    <t xml:space="preserve">Hướng dẫn cách điền các nội dung trong form</t>
  </si>
  <si>
    <t xml:space="preserve">Phiếu quan sát — P4</t>
  </si>
  <si>
    <t xml:space="preserve">03-08 / 09:45</t>
  </si>
  <si>
    <t xml:space="preserve">Tên sự kiện họ tạo (mẫu: [TEST-P4] ...)</t>
  </si>
  <si>
    <t xml:space="preserve">09:46</t>
  </si>
  <si>
    <t xml:space="preserve">Khác</t>
  </si>
  <si>
    <t xml:space="preserve">Người dùng không biết tìm form ở đâu. Họ bảo: Cái này tìm form như thế nào vậy trời</t>
  </si>
  <si>
    <t xml:space="preserve">09:51</t>
  </si>
  <si>
    <t xml:space="preserve">Sao add file vào quài mà không được</t>
  </si>
  <si>
    <t xml:space="preserve">09:52</t>
  </si>
  <si>
    <t xml:space="preserve">Sao cảm giác chọn dropdown xong như chưa chọn vậy, rồi sao biết là cái này chọn nhiều được vậy trời</t>
  </si>
  <si>
    <t xml:space="preserve">09:54</t>
  </si>
  <si>
    <t xml:space="preserve">Mấy cái role này là sao vậy, giờ biết điền gì vào đây, có nên điền không</t>
  </si>
  <si>
    <t xml:space="preserve">Do dự</t>
  </si>
  <si>
    <t xml:space="preserve">09:55</t>
  </si>
  <si>
    <t xml:space="preserve">Rồi sao không thấy dấu * mà giờ bắt điền vậy trời, vẫn chưa hiểu là gì luôn</t>
  </si>
  <si>
    <t xml:space="preserve">Lỗi thao tác</t>
  </si>
  <si>
    <t xml:space="preserve">Có một chỗ ở lúc tìm đến form là tôi phải đoán xem mình đang ở đâu, bấm nút nào và hover vào mới biết là bấm vào đó là vào được admin dashboard. Còn một chỗ lúc toggle thì cũng không rõ đang toggle cái gì, sau khi toggle hiện thêm field cần điền thì cũng không rõ nên điền gì, nó có ý nghĩa gì</t>
  </si>
  <si>
    <t xml:space="preserve">Biết và đa số cũng không sai lắm</t>
  </si>
  <si>
    <t xml:space="preserve">Bước tìm đến form, tôi nghĩ vào tài khoản admin thì nên vào admin dashboard để dễ thao tác hơn chứ</t>
  </si>
  <si>
    <t xml:space="preserve">Tôi không chắc chắn lắm vì chẳng thấy xác nhận nào rõ ràng</t>
  </si>
  <si>
    <t xml:space="preserve">Sửa lại luồng tìm form, chủ yếu là admin dashboard phải show lên mặc định lúc vào chứ không phải user dashboard</t>
  </si>
  <si>
    <t xml:space="preserve">Không có </t>
  </si>
  <si>
    <t xml:space="preserve">Phiếu quan sát — P5</t>
  </si>
  <si>
    <t xml:space="preserve">Tên sự kiện họ tạo (mẫu: [TEST-P5] ...)</t>
  </si>
  <si>
    <t xml:space="preserve">khong</t>
  </si>
  <si>
    <t xml:space="preserve">co</t>
  </si>
  <si>
    <t xml:space="preserve">Co, vi co hien trong danh sach cac su kien</t>
  </si>
  <si>
    <t xml:space="preserve">Khong co</t>
  </si>
  <si>
    <t xml:space="preserve">SUS — System Usability Scale</t>
  </si>
  <si>
    <t xml:space="preserve">Nhập điểm thô 1–5 của từng người vào ô vàng. Điểm SUS tự tính bên dưới.</t>
  </si>
  <si>
    <t xml:space="preserve">Thang: 1 = Hoàn toàn không đồng ý  ·  5 = Hoàn toàn đồng ý</t>
  </si>
  <si>
    <t xml:space="preserve">#</t>
  </si>
  <si>
    <t xml:space="preserve">Câu hỏi</t>
  </si>
  <si>
    <t xml:space="preserve">Tôi nghĩ mình sẽ muốn dùng hệ thống này thường xuyên</t>
  </si>
  <si>
    <t xml:space="preserve">Tôi thấy hệ thống này phức tạp một cách không cần thiết</t>
  </si>
  <si>
    <t xml:space="preserve">Tôi thấy hệ thống này dễ sử dụng</t>
  </si>
  <si>
    <t xml:space="preserve">Tôi nghĩ mình sẽ cần người có chuyên môn hỗ trợ mới dùng được hệ thống này</t>
  </si>
  <si>
    <t xml:space="preserve">Tôi thấy các chức năng trong hệ thống này được kết hợp với nhau tốt</t>
  </si>
  <si>
    <t xml:space="preserve">Tôi thấy hệ thống này có quá nhiều điểm thiếu nhất quán</t>
  </si>
  <si>
    <t xml:space="preserve">Tôi nghĩ hầu hết mọi người sẽ học cách dùng hệ thống này rất nhanh</t>
  </si>
  <si>
    <t xml:space="preserve">Tôi thấy hệ thống này rất cồng kềnh, khó thao tác</t>
  </si>
  <si>
    <t xml:space="preserve">Tôi cảm thấy tự tin khi sử dụng hệ thống này</t>
  </si>
  <si>
    <t xml:space="preserve">Tôi cần học rất nhiều thứ trước khi có thể bắt đầu dùng hệ thống này</t>
  </si>
  <si>
    <t xml:space="preserve">Điểm quy đổi (lẻ: điểm−1 · chẵn: 5−điểm)</t>
  </si>
  <si>
    <t xml:space="preserve">ĐIỂM SUS (0–100)</t>
  </si>
  <si>
    <t xml:space="preserve">SUS trung bình 5 người</t>
  </si>
  <si>
    <t xml:space="preserve">Độ lệch chuẩn</t>
  </si>
  <si>
    <t xml:space="preserve">Thấp nhất / Cao nhất</t>
  </si>
  <si>
    <t xml:space="preserve">Xếp loại so với mốc ngành (68)</t>
  </si>
  <si>
    <t xml:space="preserve">Mốc tham chiếu: trung bình ngành ≈ 68 · ≥80.3 xuất sắc · &lt;51 xếp loại kém</t>
  </si>
  <si>
    <t xml:space="preserve">Bảng chỉ số tổng hợp — đưa thẳng vào Usability Report</t>
  </si>
  <si>
    <t xml:space="preserve">Toàn bộ là công thức, tự lấy từ các sheet phiên. Không cần nhập tay.</t>
  </si>
  <si>
    <t xml:space="preserve">Một phần</t>
  </si>
  <si>
    <t xml:space="preserve">Thất bại</t>
  </si>
  <si>
    <t xml:space="preserve">Tỉ lệ thành công</t>
  </si>
  <si>
    <t xml:space="preserve">Tỉ lệ thành công chỉ hiện khi đủ 5 phiên. Trung bình thời gian/lỗi chỉ tính trên các phiên đã điền.</t>
  </si>
  <si>
    <t xml:space="preserve">Thời gian trung bình theo tác vụ (giây)</t>
  </si>
  <si>
    <t xml:space="preserve">Trung bình</t>
  </si>
  <si>
    <t xml:space="preserve">Nhanh nhất</t>
  </si>
  <si>
    <t xml:space="preserve">Chậm nhất</t>
  </si>
  <si>
    <t xml:space="preserve">Lỗi và do dự (tổng cả 3 tác vụ)</t>
  </si>
  <si>
    <t xml:space="preserve">Chỉ số</t>
  </si>
  <si>
    <t xml:space="preserve">Tổng</t>
  </si>
  <si>
    <t xml:space="preserve">Trung bình/người</t>
  </si>
  <si>
    <t xml:space="preserve">Điểm SUS</t>
  </si>
  <si>
    <t xml:space="preserve">Danh sách phát hiện usability đã gom nhóm và xếp hạng</t>
  </si>
  <si>
    <t xml:space="preserve">Quy tắc: ≥3/5 người cùng vướng → vấn đề thiết kế hệ thống · 1–2 người → lỗi cá biệt</t>
  </si>
  <si>
    <t xml:space="preserve">ID</t>
  </si>
  <si>
    <t xml:space="preserve">Mô tả phát hiện</t>
  </si>
  <si>
    <t xml:space="preserve">Số người gặp</t>
  </si>
  <si>
    <t xml:space="preserve">Severity (0–4)</t>
  </si>
  <si>
    <t xml:space="preserve">Heuristic vi phạm</t>
  </si>
  <si>
    <t xml:space="preserve">Khuyến nghị sửa</t>
  </si>
  <si>
    <t xml:space="preserve">Ảnh</t>
  </si>
  <si>
    <t xml:space="preserve">Đã gửi Form</t>
  </si>
  <si>
    <t xml:space="preserve">Khó tìm được lối vào form tạo sự kiện. Sau khi đăng nhập bằng tài khoản admin, hệ thống mặc định hiển thị dashboard người dùng chứ không phải dashboard quản trị, người tham gia phải tự dò tìm. Thời gian làm T1 chênh lệch rất lớn giữa 5 người: 5s / 45s / 19s / 70s / 120s — người chậm nhất mất gấp 24 lần người nhanh nhất.</t>
  </si>
  <si>
    <t xml:space="preserve">A1 - Danh sách Events</t>
  </si>
  <si>
    <t xml:space="preserve">3/5</t>
  </si>
  <si>
    <t xml:space="preserve">Vấn đề thiết kế hệ thống</t>
  </si>
  <si>
    <t xml:space="preserve">3 - Lớn</t>
  </si>
  <si>
    <t xml:space="preserve">Nielsen #1 – Visibility of system status; Nielsen #6 – Recognition rather than recall; Norman – Mapping</t>
  </si>
  <si>
    <t xml:space="preserve">Khi đăng nhập bằng tài khoản có quyền admin, mặc định đưa thẳng vào dashboard quản trị; hoặc đặt lối vào khu quản trị ở vị trí nổi bật, có nhãn chữ rõ ràng thay vì chỉ icon.</t>
  </si>
  <si>
    <t xml:space="preserve">Chưa</t>
  </si>
  <si>
    <t xml:space="preserve">Không có xác nhận rõ ràng sau khi phát hành sự kiện. Hệ thống nhảy thẳng về màn hình quản lý sự kiện mà không hiện thông báo nào. Người tham gia phải tự đi kiểm tra danh sách mới dám tin là đã thành công.</t>
  </si>
  <si>
    <t xml:space="preserve">2/5</t>
  </si>
  <si>
    <t xml:space="preserve">Lỗi cá biệt</t>
  </si>
  <si>
    <t xml:space="preserve">Nielsen #1 – Visibility of system status; Shneiderman #4 – Design dialogs to yield closure; Norman – Feedback</t>
  </si>
  <si>
    <t xml:space="preserve">Hiển thị toast hoặc màn hình tổng kết sau khi Publish, nêu rõ tên sự kiện, trạng thái mới và hành động tiếp theo.</t>
  </si>
  <si>
    <t xml:space="preserve">Các trường trong form không có hướng dẫn hoặc ví dụ, nhiều mục không hiểu để làm gì: "Additional Options", "Academic Context", cụm cấu hình vai trò phụ. Người tham gia dừng lại đoán nghĩa hoặc bỏ qua.</t>
  </si>
  <si>
    <t xml:space="preserve">Nielsen #2 – Match between system and the real world; Nielsen #6 – Recognition rather than recall</t>
  </si>
  <si>
    <t xml:space="preserve">Thêm dòng mô tả ngắn hoặc tooltip cho từng nhóm trường; đưa ví dụ mẫu vào ngay dưới nhãn trường thay vì chỉ đặt trong placeholder.</t>
  </si>
  <si>
    <t xml:space="preserve">Trường bắt buộc không được đánh dấu. Người tham gia chỉ phát hiện khi bị chặn lúc submit, nguyên văn: "Sao không thấy dấu * mà giờ bắt điền vậy trời".</t>
  </si>
  <si>
    <t xml:space="preserve">1/5</t>
  </si>
  <si>
    <t xml:space="preserve">Nielsen #5 – Error prevention; Nielsen #4 – Consistency and standards</t>
  </si>
  <si>
    <t xml:space="preserve">Đánh dấu nhất quán mọi trường bắt buộc bằng một quy ước duy nhất và giải thích quy ước đó ở đầu form. Trùng khớp với phát hiện GUI-02-11 ở Task 1B.</t>
  </si>
  <si>
    <t xml:space="preserve">Không đính kèm được file. Người tham gia thử nhiều lần không thành công: "Sao add file vào quài mà không được".</t>
  </si>
  <si>
    <t xml:space="preserve">Nielsen #9 – Help users recognize, diagnose and recover from errors; Norman – Constraints</t>
  </si>
  <si>
    <t xml:space="preserve">Nêu rõ định dạng và dung lượng được chấp nhận ngay tại vùng upload, và hiện thông báo cụ thể khi file bị từ chối. Lưu ý: giao diện ghi "Supported any file format" nhưng thuộc tính accept chỉ nhận .pdf .doc .docx .xls .xlsx — cần xác minh lại đây có phải nguyên nhân không.</t>
  </si>
  <si>
    <t xml:space="preserve">Dropdown không thể hiện rõ giá trị đã chọn và không cho biết là loại đa chọn: "Cảm giác chọn dropdown xong như chưa chọn vậy, rồi sao biết là cái này chọn nhiều được vậy trời".</t>
  </si>
  <si>
    <t xml:space="preserve">2 - Nhỏ</t>
  </si>
  <si>
    <t xml:space="preserve">Norman – Visibility, Feedback; Nielsen #1</t>
  </si>
  <si>
    <t xml:space="preserve">Hiển thị giá trị đã chọn dạng chip ngay trên ô dropdown; ghi chú "có thể chọn nhiều" với các trường đa chọn.</t>
  </si>
  <si>
    <t xml:space="preserve">Bộ chọn ngày giờ không cho nhập tay, bắt buộc phải bấm chọn qua lịch — chậm và gây khó chịu. Đây cũng là một trong hai bước bị nêu là mất nhiều thời gian nhất.</t>
  </si>
  <si>
    <t xml:space="preserve">Nielsen #7 – Flexibility and efficiency of use; Shneiderman #2</t>
  </si>
  <si>
    <t xml:space="preserve">Cho phép gõ trực tiếp ngày giờ theo định dạng có gợi ý, song song với việc chọn qua lịch.</t>
  </si>
  <si>
    <t xml:space="preserve">Bước điền form (T2) chiếm gần như toàn bộ thời gian của quy trình: trung bình 441 giây, so với 51 giây cho T1 và 44 giây cho T3. Form quá dài và nặng so với hai bước còn lại.</t>
  </si>
  <si>
    <t xml:space="preserve">5/5</t>
  </si>
  <si>
    <t xml:space="preserve">Nielsen #8 – Aesthetic and minimalist design; Shneiderman #8</t>
  </si>
  <si>
    <t xml:space="preserve">Rút gọn form ở bước tạo mới, chỉ giữ các trường thật sự bắt buộc; chuyển phần cấu hình nâng cao sang bước riêng sau khi đã lưu nháp.</t>
  </si>
</sst>
</file>

<file path=xl/styles.xml><?xml version="1.0" encoding="utf-8"?>
<styleSheet xmlns="http://schemas.openxmlformats.org/spreadsheetml/2006/main">
  <numFmts count="4">
    <numFmt numFmtId="164" formatCode="General"/>
    <numFmt numFmtId="165" formatCode="0.0"/>
    <numFmt numFmtId="166" formatCode="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color rgb="FF595959"/>
      <name val="Arial"/>
      <family val="0"/>
      <charset val="1"/>
    </font>
    <font>
      <b val="true"/>
      <sz val="10"/>
      <color rgb="FFC00000"/>
      <name val="Arial"/>
      <family val="0"/>
      <charset val="1"/>
    </font>
    <font>
      <b val="true"/>
      <sz val="10"/>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2"/>
      <color rgb="FF1F3864"/>
      <name val="Arial"/>
      <family val="0"/>
      <charset val="1"/>
    </font>
    <font>
      <b val="true"/>
      <sz val="1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3"/>
        <bgColor rgb="FFC6EFCE"/>
      </patternFill>
    </fill>
    <fill>
      <patternFill patternType="solid">
        <fgColor rgb="FFC6EFCE"/>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5" fontId="12" fillId="5"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G6" activeCellId="0" sqref="G6"/>
    </sheetView>
  </sheetViews>
  <sheetFormatPr defaultColWidth="8.66796875" defaultRowHeight="14.2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38"/>
    <col collapsed="false" customWidth="true" hidden="false" outlineLevel="0" max="4" min="4" style="1" width="22"/>
    <col collapsed="false" customWidth="true" hidden="false" outlineLevel="0" max="5" min="5" style="1" width="14"/>
    <col collapsed="false" customWidth="true" hidden="false" outlineLevel="0" max="6" min="6" style="1" width="12"/>
    <col collapsed="false" customWidth="true" hidden="false" outlineLevel="0" max="7" min="7" style="1" width="16"/>
    <col collapsed="false" customWidth="true" hidden="false" outlineLevel="0" max="8" min="8" style="1" width="34"/>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row>
    <row r="5" customFormat="false" ht="15" hidden="false" customHeight="true" outlineLevel="0" collapsed="false">
      <c r="A5" s="5" t="s">
        <v>3</v>
      </c>
      <c r="B5" s="5" t="s">
        <v>4</v>
      </c>
      <c r="C5" s="5" t="s">
        <v>5</v>
      </c>
      <c r="D5" s="5" t="s">
        <v>6</v>
      </c>
      <c r="E5" s="5" t="s">
        <v>7</v>
      </c>
      <c r="F5" s="5" t="s">
        <v>8</v>
      </c>
      <c r="G5" s="5" t="s">
        <v>9</v>
      </c>
      <c r="H5" s="5" t="s">
        <v>10</v>
      </c>
    </row>
    <row r="6" customFormat="false" ht="30" hidden="false" customHeight="true" outlineLevel="0" collapsed="false">
      <c r="A6" s="6" t="s">
        <v>11</v>
      </c>
      <c r="B6" s="7" t="s">
        <v>12</v>
      </c>
      <c r="C6" s="7" t="s">
        <v>13</v>
      </c>
      <c r="D6" s="7" t="s">
        <v>14</v>
      </c>
      <c r="E6" s="7"/>
      <c r="F6" s="7"/>
      <c r="G6" s="7" t="s">
        <v>15</v>
      </c>
      <c r="H6" s="7"/>
    </row>
    <row r="7" customFormat="false" ht="30" hidden="false" customHeight="true" outlineLevel="0" collapsed="false">
      <c r="A7" s="6" t="s">
        <v>16</v>
      </c>
      <c r="B7" s="7" t="s">
        <v>17</v>
      </c>
      <c r="C7" s="7" t="s">
        <v>13</v>
      </c>
      <c r="D7" s="7"/>
      <c r="E7" s="7" t="s">
        <v>18</v>
      </c>
      <c r="F7" s="7" t="s">
        <v>19</v>
      </c>
      <c r="G7" s="7" t="s">
        <v>15</v>
      </c>
      <c r="H7" s="7"/>
    </row>
    <row r="8" customFormat="false" ht="30" hidden="false" customHeight="true" outlineLevel="0" collapsed="false">
      <c r="A8" s="6" t="s">
        <v>20</v>
      </c>
      <c r="B8" s="7" t="s">
        <v>21</v>
      </c>
      <c r="C8" s="7" t="s">
        <v>13</v>
      </c>
      <c r="D8" s="7" t="s">
        <v>22</v>
      </c>
      <c r="E8" s="7" t="s">
        <v>18</v>
      </c>
      <c r="F8" s="7" t="s">
        <v>23</v>
      </c>
      <c r="G8" s="7" t="s">
        <v>15</v>
      </c>
      <c r="H8" s="7"/>
    </row>
    <row r="9" customFormat="false" ht="30" hidden="false" customHeight="true" outlineLevel="0" collapsed="false">
      <c r="A9" s="6" t="s">
        <v>24</v>
      </c>
      <c r="B9" s="7" t="s">
        <v>25</v>
      </c>
      <c r="C9" s="7" t="s">
        <v>13</v>
      </c>
      <c r="D9" s="7" t="s">
        <v>26</v>
      </c>
      <c r="E9" s="7" t="s">
        <v>27</v>
      </c>
      <c r="F9" s="7" t="s">
        <v>28</v>
      </c>
      <c r="G9" s="7" t="s">
        <v>15</v>
      </c>
      <c r="H9" s="7"/>
    </row>
    <row r="10" customFormat="false" ht="30" hidden="false" customHeight="true" outlineLevel="0" collapsed="false">
      <c r="A10" s="6" t="s">
        <v>29</v>
      </c>
      <c r="B10" s="7" t="s">
        <v>30</v>
      </c>
      <c r="C10" s="7" t="s">
        <v>13</v>
      </c>
      <c r="D10" s="7" t="s">
        <v>31</v>
      </c>
      <c r="E10" s="7"/>
      <c r="F10" s="7"/>
      <c r="G10" s="7" t="s">
        <v>15</v>
      </c>
      <c r="H10" s="7"/>
    </row>
    <row r="11" customFormat="false" ht="30" hidden="false" customHeight="true" outlineLevel="0" collapsed="false">
      <c r="A11" s="8"/>
      <c r="B11" s="8"/>
      <c r="C11" s="8"/>
      <c r="D11" s="8"/>
      <c r="E11" s="9"/>
      <c r="F11" s="9"/>
      <c r="G11" s="9"/>
      <c r="H11" s="8"/>
    </row>
    <row r="13" customFormat="false" ht="15" hidden="false" customHeight="true" outlineLevel="0" collapsed="false">
      <c r="A13" s="10" t="s">
        <v>32</v>
      </c>
    </row>
    <row r="14" customFormat="false" ht="15" hidden="false" customHeight="true" outlineLevel="0" collapsed="false">
      <c r="A14" s="10"/>
    </row>
  </sheetData>
  <dataValidations count="1">
    <dataValidation allowBlank="true" errorStyle="stop" operator="between" showDropDown="false" showErrorMessage="false" showInputMessage="false" sqref="G6:G11" type="list">
      <formula1>"Có,Không"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D10" activeCellId="0" sqref="D10"/>
    </sheetView>
  </sheetViews>
  <sheetFormatPr defaultColWidth="8.66796875" defaultRowHeight="14.25" customHeight="false" zeroHeight="false" outlineLevelRow="0" outlineLevelCol="0"/>
  <cols>
    <col collapsed="false" customWidth="true" hidden="false" outlineLevel="0" max="1" min="1" style="1" width="41"/>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20"/>
    <col collapsed="false" customWidth="true" hidden="false" outlineLevel="0" max="6" min="6" style="1" width="14"/>
    <col collapsed="false" customWidth="true" hidden="false" outlineLevel="0" max="7" min="7" style="1" width="16"/>
  </cols>
  <sheetData>
    <row r="1" customFormat="false" ht="17.25" hidden="false" customHeight="true" outlineLevel="0" collapsed="false">
      <c r="A1" s="2" t="s">
        <v>33</v>
      </c>
    </row>
    <row r="2" customFormat="false" ht="15" hidden="false" customHeight="true" outlineLevel="0" collapsed="false">
      <c r="A2" s="3" t="s">
        <v>34</v>
      </c>
    </row>
    <row r="4" customFormat="false" ht="15" hidden="false" customHeight="true" outlineLevel="0" collapsed="false">
      <c r="A4" s="11" t="s">
        <v>35</v>
      </c>
      <c r="B4" s="12" t="s">
        <v>12</v>
      </c>
      <c r="C4" s="12"/>
      <c r="D4" s="12"/>
      <c r="E4" s="12"/>
    </row>
    <row r="5" customFormat="false" ht="15" hidden="false" customHeight="true" outlineLevel="0" collapsed="false">
      <c r="A5" s="11" t="s">
        <v>36</v>
      </c>
      <c r="B5" s="12"/>
      <c r="C5" s="12"/>
      <c r="D5" s="12"/>
      <c r="E5" s="12"/>
    </row>
    <row r="6" customFormat="false" ht="15" hidden="false" customHeight="true" outlineLevel="0" collapsed="false">
      <c r="A6" s="11" t="s">
        <v>37</v>
      </c>
      <c r="B6" s="12"/>
      <c r="C6" s="12"/>
      <c r="D6" s="12"/>
      <c r="E6" s="12"/>
    </row>
    <row r="8" customFormat="false" ht="15" hidden="false" customHeight="true" outlineLevel="0" collapsed="false">
      <c r="A8" s="13" t="s">
        <v>38</v>
      </c>
    </row>
    <row r="9" customFormat="false" ht="15" hidden="false" customHeight="true" outlineLevel="0" collapsed="false">
      <c r="A9" s="5" t="s">
        <v>39</v>
      </c>
      <c r="B9" s="5" t="s">
        <v>40</v>
      </c>
      <c r="C9" s="5" t="s">
        <v>41</v>
      </c>
      <c r="D9" s="5" t="s">
        <v>42</v>
      </c>
      <c r="E9" s="5" t="s">
        <v>43</v>
      </c>
      <c r="F9" s="5" t="s">
        <v>44</v>
      </c>
      <c r="G9" s="5" t="s">
        <v>45</v>
      </c>
    </row>
    <row r="10" customFormat="false" ht="39.75" hidden="false" customHeight="true" outlineLevel="0" collapsed="false">
      <c r="A10" s="14" t="s">
        <v>46</v>
      </c>
      <c r="B10" s="15" t="s">
        <v>47</v>
      </c>
      <c r="C10" s="16" t="s">
        <v>48</v>
      </c>
      <c r="D10" s="16" t="n">
        <v>5</v>
      </c>
      <c r="E10" s="16" t="n">
        <v>0</v>
      </c>
      <c r="F10" s="16" t="n">
        <v>0</v>
      </c>
      <c r="G10" s="16" t="n">
        <v>0</v>
      </c>
    </row>
    <row r="11" customFormat="false" ht="39.75" hidden="false" customHeight="true" outlineLevel="0" collapsed="false">
      <c r="A11" s="14" t="s">
        <v>49</v>
      </c>
      <c r="B11" s="15" t="s">
        <v>50</v>
      </c>
      <c r="C11" s="16" t="s">
        <v>48</v>
      </c>
      <c r="D11" s="16" t="n">
        <v>400</v>
      </c>
      <c r="E11" s="16" t="n">
        <v>0</v>
      </c>
      <c r="F11" s="16" t="n">
        <v>0</v>
      </c>
      <c r="G11" s="16" t="n">
        <v>0</v>
      </c>
    </row>
    <row r="12" customFormat="false" ht="39.75" hidden="false" customHeight="true" outlineLevel="0" collapsed="false">
      <c r="A12" s="14" t="s">
        <v>51</v>
      </c>
      <c r="B12" s="15" t="s">
        <v>52</v>
      </c>
      <c r="C12" s="16" t="s">
        <v>48</v>
      </c>
      <c r="D12" s="16" t="n">
        <v>10</v>
      </c>
      <c r="E12" s="16" t="n">
        <v>0</v>
      </c>
      <c r="F12" s="16" t="n">
        <v>0</v>
      </c>
      <c r="G12" s="16" t="n">
        <v>0</v>
      </c>
    </row>
    <row r="13" customFormat="false" ht="15" hidden="false" customHeight="true" outlineLevel="0" collapsed="false">
      <c r="A13" s="17"/>
      <c r="B13" s="18" t="s">
        <v>53</v>
      </c>
      <c r="C13" s="17"/>
      <c r="D13" s="19" t="n">
        <f aca="false">IF(COUNT(D10:D12)=0,"",SUM(D10:D12))</f>
        <v>415</v>
      </c>
      <c r="E13" s="19" t="n">
        <f aca="false">IF(COUNT(E10:E12)=0,"",SUM(E10:E12))</f>
        <v>0</v>
      </c>
      <c r="F13" s="19" t="n">
        <f aca="false">IF(COUNT(F10:F12)=0,"",SUM(F10:F12))</f>
        <v>0</v>
      </c>
      <c r="G13" s="19" t="n">
        <f aca="false">IF(COUNT(G10:G12)=0,"",SUM(G10:G12))</f>
        <v>0</v>
      </c>
    </row>
    <row r="14" customFormat="false" ht="14.25" hidden="false" customHeight="true" outlineLevel="0" collapsed="false">
      <c r="A14" s="20" t="s">
        <v>54</v>
      </c>
      <c r="B14" s="20"/>
      <c r="C14" s="20"/>
      <c r="D14" s="20"/>
      <c r="E14" s="20"/>
      <c r="F14" s="20"/>
      <c r="G14" s="20"/>
    </row>
    <row r="15" customFormat="false" ht="15" hidden="false" customHeight="true" outlineLevel="0" collapsed="false">
      <c r="A15" s="13" t="s">
        <v>55</v>
      </c>
    </row>
    <row r="16" customFormat="false" ht="15" hidden="false" customHeight="true" outlineLevel="0" collapsed="false">
      <c r="A16" s="5" t="s">
        <v>56</v>
      </c>
      <c r="B16" s="5" t="s">
        <v>57</v>
      </c>
      <c r="C16" s="5" t="s">
        <v>58</v>
      </c>
      <c r="D16" s="5" t="s">
        <v>59</v>
      </c>
      <c r="E16" s="5" t="s">
        <v>60</v>
      </c>
    </row>
    <row r="17" customFormat="false" ht="25.5" hidden="false" customHeight="true" outlineLevel="0" collapsed="false">
      <c r="A17" s="7"/>
      <c r="B17" s="7"/>
      <c r="C17" s="7"/>
      <c r="D17" s="7"/>
      <c r="E17" s="7"/>
    </row>
    <row r="18" customFormat="false" ht="25.5" hidden="false" customHeight="true" outlineLevel="0" collapsed="false">
      <c r="A18" s="7"/>
      <c r="B18" s="7"/>
      <c r="C18" s="7"/>
      <c r="D18" s="7"/>
      <c r="E18" s="7"/>
    </row>
    <row r="19" customFormat="false" ht="25.5" hidden="false" customHeight="true" outlineLevel="0" collapsed="false">
      <c r="A19" s="7"/>
      <c r="B19" s="7"/>
      <c r="C19" s="7"/>
      <c r="D19" s="7"/>
      <c r="E19" s="7"/>
    </row>
    <row r="20" customFormat="false" ht="25.5" hidden="false" customHeight="true" outlineLevel="0" collapsed="false">
      <c r="A20" s="7"/>
      <c r="B20" s="7"/>
      <c r="C20" s="7"/>
      <c r="D20" s="7"/>
      <c r="E20" s="7"/>
    </row>
    <row r="21" customFormat="false" ht="25.5" hidden="false" customHeight="true" outlineLevel="0" collapsed="false">
      <c r="A21" s="7"/>
      <c r="B21" s="7"/>
      <c r="C21" s="7"/>
      <c r="D21" s="7"/>
      <c r="E21" s="7"/>
    </row>
    <row r="22" customFormat="false" ht="25.5" hidden="false" customHeight="true" outlineLevel="0" collapsed="false">
      <c r="A22" s="7"/>
      <c r="B22" s="7"/>
      <c r="C22" s="7"/>
      <c r="D22" s="7"/>
      <c r="E22" s="7"/>
    </row>
    <row r="23" customFormat="false" ht="25.5" hidden="false" customHeight="true" outlineLevel="0" collapsed="false">
      <c r="A23" s="7"/>
      <c r="B23" s="7"/>
      <c r="C23" s="7"/>
      <c r="D23" s="7"/>
      <c r="E23" s="7"/>
    </row>
    <row r="24" customFormat="false" ht="25.5" hidden="false" customHeight="true" outlineLevel="0" collapsed="false">
      <c r="A24" s="7"/>
      <c r="B24" s="7"/>
      <c r="C24" s="7"/>
      <c r="D24" s="7"/>
      <c r="E24" s="7"/>
    </row>
    <row r="25" customFormat="false" ht="25.5" hidden="false" customHeight="true" outlineLevel="0" collapsed="false">
      <c r="A25" s="7"/>
      <c r="B25" s="7"/>
      <c r="C25" s="7"/>
      <c r="D25" s="7"/>
      <c r="E25" s="7"/>
    </row>
    <row r="26" customFormat="false" ht="25.5" hidden="false" customHeight="true" outlineLevel="0" collapsed="false">
      <c r="A26" s="7"/>
      <c r="B26" s="7"/>
      <c r="C26" s="7"/>
      <c r="D26" s="7"/>
      <c r="E26" s="7"/>
    </row>
    <row r="27" customFormat="false" ht="25.5" hidden="false" customHeight="true" outlineLevel="0" collapsed="false">
      <c r="A27" s="7"/>
      <c r="B27" s="7"/>
      <c r="C27" s="7"/>
      <c r="D27" s="7"/>
      <c r="E27" s="7"/>
    </row>
    <row r="28" customFormat="false" ht="25.5" hidden="false" customHeight="true" outlineLevel="0" collapsed="false">
      <c r="A28" s="7"/>
      <c r="B28" s="7"/>
      <c r="C28" s="7"/>
      <c r="D28" s="7"/>
      <c r="E28" s="7"/>
    </row>
    <row r="29" customFormat="false" ht="25.5" hidden="false" customHeight="true" outlineLevel="0" collapsed="false">
      <c r="A29" s="7"/>
      <c r="B29" s="7"/>
      <c r="C29" s="7"/>
      <c r="D29" s="7"/>
      <c r="E29" s="7"/>
    </row>
    <row r="30" customFormat="false" ht="25.5" hidden="false" customHeight="true" outlineLevel="0" collapsed="false">
      <c r="A30" s="7"/>
      <c r="B30" s="7"/>
      <c r="C30" s="7"/>
      <c r="D30" s="7"/>
      <c r="E30" s="7"/>
    </row>
    <row r="31" customFormat="false" ht="25.5" hidden="false" customHeight="true" outlineLevel="0" collapsed="false">
      <c r="A31" s="7"/>
      <c r="B31" s="7"/>
      <c r="C31" s="7"/>
      <c r="D31" s="7"/>
      <c r="E31" s="7"/>
    </row>
    <row r="32" customFormat="false" ht="25.5" hidden="false" customHeight="true" outlineLevel="0" collapsed="false">
      <c r="A32" s="7"/>
      <c r="B32" s="7"/>
      <c r="C32" s="7"/>
      <c r="D32" s="7"/>
      <c r="E32" s="7"/>
    </row>
    <row r="33" customFormat="false" ht="25.5" hidden="false" customHeight="true" outlineLevel="0" collapsed="false">
      <c r="A33" s="7"/>
      <c r="B33" s="7"/>
      <c r="C33" s="7"/>
      <c r="D33" s="7"/>
      <c r="E33" s="7"/>
    </row>
    <row r="34" customFormat="false" ht="25.5" hidden="false" customHeight="true" outlineLevel="0" collapsed="false">
      <c r="A34" s="7"/>
      <c r="B34" s="7"/>
      <c r="C34" s="7"/>
      <c r="D34" s="7"/>
      <c r="E34" s="7"/>
    </row>
    <row r="35" customFormat="false" ht="25.5" hidden="false" customHeight="true" outlineLevel="0" collapsed="false">
      <c r="A35" s="7"/>
      <c r="B35" s="7"/>
      <c r="C35" s="7"/>
      <c r="D35" s="7"/>
      <c r="E35" s="7"/>
    </row>
    <row r="36" customFormat="false" ht="25.5" hidden="false" customHeight="true" outlineLevel="0" collapsed="false">
      <c r="A36" s="7"/>
      <c r="B36" s="7"/>
      <c r="C36" s="7"/>
      <c r="D36" s="7"/>
      <c r="E36" s="7"/>
    </row>
    <row r="38" customFormat="false" ht="15" hidden="false" customHeight="true" outlineLevel="0" collapsed="false">
      <c r="A38" s="13" t="s">
        <v>61</v>
      </c>
    </row>
    <row r="39" customFormat="false" ht="33.75" hidden="false" customHeight="true" outlineLevel="0" collapsed="false">
      <c r="A39" s="15" t="s">
        <v>62</v>
      </c>
      <c r="B39" s="7" t="s">
        <v>15</v>
      </c>
      <c r="C39" s="7"/>
      <c r="D39" s="7"/>
      <c r="E39" s="7"/>
    </row>
    <row r="40" customFormat="false" ht="33.75" hidden="false" customHeight="true" outlineLevel="0" collapsed="false">
      <c r="A40" s="15" t="s">
        <v>63</v>
      </c>
      <c r="B40" s="7" t="s">
        <v>64</v>
      </c>
      <c r="C40" s="7"/>
      <c r="D40" s="7"/>
      <c r="E40" s="7"/>
    </row>
    <row r="41" customFormat="false" ht="33.75" hidden="false" customHeight="true" outlineLevel="0" collapsed="false">
      <c r="A41" s="15" t="s">
        <v>65</v>
      </c>
      <c r="B41" s="7" t="s">
        <v>64</v>
      </c>
      <c r="C41" s="7"/>
      <c r="D41" s="7"/>
      <c r="E41" s="7"/>
    </row>
    <row r="42" customFormat="false" ht="26.25" hidden="false" customHeight="true" outlineLevel="0" collapsed="false">
      <c r="A42" s="15" t="s">
        <v>66</v>
      </c>
      <c r="B42" s="7" t="s">
        <v>67</v>
      </c>
      <c r="C42" s="7"/>
      <c r="D42" s="7"/>
      <c r="E42" s="7"/>
    </row>
    <row r="43" customFormat="false" ht="33.75" hidden="false" customHeight="true" outlineLevel="0" collapsed="false">
      <c r="A43" s="15" t="s">
        <v>68</v>
      </c>
      <c r="B43" s="7" t="s">
        <v>15</v>
      </c>
      <c r="C43" s="7"/>
      <c r="D43" s="7"/>
      <c r="E43" s="7"/>
    </row>
    <row r="44" customFormat="false" ht="33.75" hidden="false" customHeight="true" outlineLevel="0" collapsed="false">
      <c r="A44" s="15" t="s">
        <v>69</v>
      </c>
      <c r="B44" s="7" t="s">
        <v>15</v>
      </c>
      <c r="C44" s="7"/>
      <c r="D44" s="7"/>
      <c r="E44" s="7"/>
    </row>
  </sheetData>
  <mergeCells count="10">
    <mergeCell ref="B4:E4"/>
    <mergeCell ref="B5:E5"/>
    <mergeCell ref="B6:E6"/>
    <mergeCell ref="A14:G14"/>
    <mergeCell ref="B39:E39"/>
    <mergeCell ref="B40:E40"/>
    <mergeCell ref="B41:E41"/>
    <mergeCell ref="B42:E42"/>
    <mergeCell ref="B43:E43"/>
    <mergeCell ref="B44:E44"/>
  </mergeCells>
  <dataValidations count="3">
    <dataValidation allowBlank="true" errorStyle="stop" operator="between" showDropDown="false" showErrorMessage="false" showInputMessage="false" sqref="C10:C12" type="list">
      <formula1>"Hoàn thành,Một phần,Thất bại"</formula1>
      <formula2>0</formula2>
    </dataValidation>
    <dataValidation allowBlank="true" errorStyle="stop" operator="between" showDropDown="false" showErrorMessage="false" showInputMessage="false" sqref="D17:D36" type="list">
      <formula1>"Điểm vướng,Lỗi thao tác,Do dự,Bực bội,Hiểu sai,Nhận xét tích cực"</formula1>
      <formula2>0</formula2>
    </dataValidation>
    <dataValidation allowBlank="true" errorStyle="stop" operator="between" showDropDown="false" showErrorMessage="false" showInputMessage="false" sqref="B17:B36" type="list">
      <formula1>"A1 - Danh sách Events,A2 - Form Add/Edit Event,A4 - Participants &amp; Reviews,Khác"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43" colorId="64" zoomScale="100" zoomScaleNormal="100" zoomScalePageLayoutView="100" workbookViewId="0">
      <selection pane="topLeft" activeCell="C50" activeCellId="0" sqref="C50"/>
    </sheetView>
  </sheetViews>
  <sheetFormatPr defaultColWidth="8.66796875" defaultRowHeight="14.2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20"/>
    <col collapsed="false" customWidth="true" hidden="false" outlineLevel="0" max="6" min="6" style="1" width="14"/>
    <col collapsed="false" customWidth="true" hidden="false" outlineLevel="0" max="7" min="7" style="1" width="16"/>
  </cols>
  <sheetData>
    <row r="1" customFormat="false" ht="17.25" hidden="false" customHeight="true" outlineLevel="0" collapsed="false">
      <c r="A1" s="2" t="s">
        <v>70</v>
      </c>
    </row>
    <row r="2" customFormat="false" ht="15" hidden="false" customHeight="true" outlineLevel="0" collapsed="false">
      <c r="A2" s="3" t="s">
        <v>34</v>
      </c>
    </row>
    <row r="4" customFormat="false" ht="15" hidden="false" customHeight="true" outlineLevel="0" collapsed="false">
      <c r="A4" s="11" t="s">
        <v>35</v>
      </c>
      <c r="B4" s="12" t="s">
        <v>17</v>
      </c>
      <c r="C4" s="12"/>
      <c r="D4" s="12"/>
      <c r="E4" s="12"/>
    </row>
    <row r="5" customFormat="false" ht="15" hidden="false" customHeight="true" outlineLevel="0" collapsed="false">
      <c r="A5" s="11" t="s">
        <v>36</v>
      </c>
      <c r="B5" s="12" t="s">
        <v>71</v>
      </c>
      <c r="C5" s="12"/>
      <c r="D5" s="12"/>
      <c r="E5" s="12"/>
    </row>
    <row r="6" customFormat="false" ht="15" hidden="false" customHeight="true" outlineLevel="0" collapsed="false">
      <c r="A6" s="11" t="s">
        <v>72</v>
      </c>
      <c r="B6" s="12" t="s">
        <v>73</v>
      </c>
      <c r="C6" s="12"/>
      <c r="D6" s="12"/>
      <c r="E6" s="12"/>
    </row>
    <row r="8" customFormat="false" ht="15" hidden="false" customHeight="true" outlineLevel="0" collapsed="false">
      <c r="A8" s="13" t="s">
        <v>38</v>
      </c>
    </row>
    <row r="9" customFormat="false" ht="15" hidden="false" customHeight="true" outlineLevel="0" collapsed="false">
      <c r="A9" s="5" t="s">
        <v>39</v>
      </c>
      <c r="B9" s="5" t="s">
        <v>40</v>
      </c>
      <c r="C9" s="5" t="s">
        <v>41</v>
      </c>
      <c r="D9" s="5" t="s">
        <v>42</v>
      </c>
      <c r="E9" s="5" t="s">
        <v>43</v>
      </c>
      <c r="F9" s="5" t="s">
        <v>44</v>
      </c>
      <c r="G9" s="5" t="s">
        <v>45</v>
      </c>
    </row>
    <row r="10" customFormat="false" ht="39.75" hidden="false" customHeight="true" outlineLevel="0" collapsed="false">
      <c r="A10" s="14" t="s">
        <v>46</v>
      </c>
      <c r="B10" s="15" t="s">
        <v>47</v>
      </c>
      <c r="C10" s="16" t="s">
        <v>48</v>
      </c>
      <c r="D10" s="16" t="n">
        <v>45</v>
      </c>
      <c r="E10" s="16" t="n">
        <v>0</v>
      </c>
      <c r="F10" s="16" t="n">
        <v>0</v>
      </c>
      <c r="G10" s="16" t="n">
        <v>0</v>
      </c>
    </row>
    <row r="11" customFormat="false" ht="39.75" hidden="false" customHeight="true" outlineLevel="0" collapsed="false">
      <c r="A11" s="14" t="s">
        <v>49</v>
      </c>
      <c r="B11" s="15" t="s">
        <v>50</v>
      </c>
      <c r="C11" s="16" t="s">
        <v>48</v>
      </c>
      <c r="D11" s="16" t="n">
        <v>619</v>
      </c>
      <c r="E11" s="16" t="n">
        <v>0</v>
      </c>
      <c r="F11" s="16" t="n">
        <v>0</v>
      </c>
      <c r="G11" s="16" t="n">
        <v>0</v>
      </c>
    </row>
    <row r="12" customFormat="false" ht="39.75" hidden="false" customHeight="true" outlineLevel="0" collapsed="false">
      <c r="A12" s="14" t="s">
        <v>51</v>
      </c>
      <c r="B12" s="15" t="s">
        <v>52</v>
      </c>
      <c r="C12" s="16" t="s">
        <v>48</v>
      </c>
      <c r="D12" s="16" t="n">
        <v>65</v>
      </c>
      <c r="E12" s="16" t="n">
        <v>0</v>
      </c>
      <c r="F12" s="16" t="n">
        <v>0</v>
      </c>
      <c r="G12" s="16" t="n">
        <v>0</v>
      </c>
    </row>
    <row r="13" customFormat="false" ht="15" hidden="false" customHeight="true" outlineLevel="0" collapsed="false">
      <c r="A13" s="17"/>
      <c r="B13" s="18" t="s">
        <v>53</v>
      </c>
      <c r="C13" s="17"/>
      <c r="D13" s="19" t="n">
        <f aca="false">IF(COUNT(D10:D12)=0,"",SUM(D10:D12))</f>
        <v>729</v>
      </c>
      <c r="E13" s="19" t="n">
        <f aca="false">IF(COUNT(E10:E12)=0,"",SUM(E10:E12))</f>
        <v>0</v>
      </c>
      <c r="F13" s="19" t="n">
        <f aca="false">IF(COUNT(F10:F12)=0,"",SUM(F10:F12))</f>
        <v>0</v>
      </c>
      <c r="G13" s="19" t="n">
        <f aca="false">IF(COUNT(G10:G12)=0,"",SUM(G10:G12))</f>
        <v>0</v>
      </c>
    </row>
    <row r="14" customFormat="false" ht="14.25" hidden="false" customHeight="true" outlineLevel="0" collapsed="false">
      <c r="A14" s="20" t="s">
        <v>54</v>
      </c>
      <c r="B14" s="20"/>
      <c r="C14" s="20"/>
      <c r="D14" s="20"/>
      <c r="E14" s="20"/>
      <c r="F14" s="20"/>
      <c r="G14" s="20"/>
    </row>
    <row r="15" customFormat="false" ht="15" hidden="false" customHeight="true" outlineLevel="0" collapsed="false">
      <c r="A15" s="13" t="s">
        <v>55</v>
      </c>
    </row>
    <row r="16" customFormat="false" ht="15" hidden="false" customHeight="true" outlineLevel="0" collapsed="false">
      <c r="A16" s="5" t="s">
        <v>56</v>
      </c>
      <c r="B16" s="5" t="s">
        <v>57</v>
      </c>
      <c r="C16" s="5" t="s">
        <v>58</v>
      </c>
      <c r="D16" s="5" t="s">
        <v>59</v>
      </c>
      <c r="E16" s="5" t="s">
        <v>60</v>
      </c>
    </row>
    <row r="17" customFormat="false" ht="25.5" hidden="false" customHeight="true" outlineLevel="0" collapsed="false">
      <c r="A17" s="7"/>
      <c r="B17" s="7"/>
      <c r="C17" s="7"/>
      <c r="D17" s="7"/>
      <c r="E17" s="7"/>
    </row>
    <row r="18" customFormat="false" ht="25.5" hidden="false" customHeight="true" outlineLevel="0" collapsed="false">
      <c r="A18" s="7"/>
      <c r="B18" s="7"/>
      <c r="C18" s="7"/>
      <c r="D18" s="7"/>
      <c r="E18" s="7"/>
    </row>
    <row r="19" customFormat="false" ht="25.5" hidden="false" customHeight="true" outlineLevel="0" collapsed="false">
      <c r="A19" s="7"/>
      <c r="B19" s="7"/>
      <c r="C19" s="7"/>
      <c r="D19" s="7"/>
      <c r="E19" s="7"/>
    </row>
    <row r="20" customFormat="false" ht="25.5" hidden="false" customHeight="true" outlineLevel="0" collapsed="false">
      <c r="A20" s="7"/>
      <c r="B20" s="7"/>
      <c r="C20" s="7"/>
      <c r="D20" s="7"/>
      <c r="E20" s="7"/>
    </row>
    <row r="21" customFormat="false" ht="25.5" hidden="false" customHeight="true" outlineLevel="0" collapsed="false">
      <c r="A21" s="7"/>
      <c r="B21" s="7"/>
      <c r="C21" s="7"/>
      <c r="D21" s="7"/>
      <c r="E21" s="7"/>
    </row>
    <row r="22" customFormat="false" ht="25.5" hidden="false" customHeight="true" outlineLevel="0" collapsed="false">
      <c r="A22" s="7"/>
      <c r="B22" s="7"/>
      <c r="C22" s="7"/>
      <c r="D22" s="7"/>
      <c r="E22" s="7"/>
    </row>
    <row r="23" customFormat="false" ht="25.5" hidden="false" customHeight="true" outlineLevel="0" collapsed="false">
      <c r="A23" s="7"/>
      <c r="B23" s="7"/>
      <c r="C23" s="7"/>
      <c r="D23" s="7"/>
      <c r="E23" s="7"/>
    </row>
    <row r="24" customFormat="false" ht="25.5" hidden="false" customHeight="true" outlineLevel="0" collapsed="false">
      <c r="A24" s="7"/>
      <c r="B24" s="7"/>
      <c r="C24" s="7"/>
      <c r="D24" s="7"/>
      <c r="E24" s="7"/>
    </row>
    <row r="25" customFormat="false" ht="25.5" hidden="false" customHeight="true" outlineLevel="0" collapsed="false">
      <c r="A25" s="7"/>
      <c r="B25" s="7"/>
      <c r="C25" s="7"/>
      <c r="D25" s="7"/>
      <c r="E25" s="7"/>
    </row>
    <row r="26" customFormat="false" ht="25.5" hidden="false" customHeight="true" outlineLevel="0" collapsed="false">
      <c r="A26" s="7"/>
      <c r="B26" s="7"/>
      <c r="C26" s="7"/>
      <c r="D26" s="7"/>
      <c r="E26" s="7"/>
    </row>
    <row r="27" customFormat="false" ht="25.5" hidden="false" customHeight="true" outlineLevel="0" collapsed="false">
      <c r="A27" s="7"/>
      <c r="B27" s="7"/>
      <c r="C27" s="7"/>
      <c r="D27" s="7"/>
      <c r="E27" s="7"/>
    </row>
    <row r="28" customFormat="false" ht="25.5" hidden="false" customHeight="true" outlineLevel="0" collapsed="false">
      <c r="A28" s="7"/>
      <c r="B28" s="7"/>
      <c r="C28" s="7"/>
      <c r="D28" s="7"/>
      <c r="E28" s="7"/>
    </row>
    <row r="29" customFormat="false" ht="25.5" hidden="false" customHeight="true" outlineLevel="0" collapsed="false">
      <c r="A29" s="7"/>
      <c r="B29" s="7"/>
      <c r="C29" s="7"/>
      <c r="D29" s="7"/>
      <c r="E29" s="7"/>
    </row>
    <row r="30" customFormat="false" ht="25.5" hidden="false" customHeight="true" outlineLevel="0" collapsed="false">
      <c r="A30" s="7"/>
      <c r="B30" s="7"/>
      <c r="C30" s="7"/>
      <c r="D30" s="7"/>
      <c r="E30" s="7"/>
    </row>
    <row r="31" customFormat="false" ht="25.5" hidden="false" customHeight="true" outlineLevel="0" collapsed="false">
      <c r="A31" s="7"/>
      <c r="B31" s="7"/>
      <c r="C31" s="7"/>
      <c r="D31" s="7"/>
      <c r="E31" s="7"/>
    </row>
    <row r="32" customFormat="false" ht="25.5" hidden="false" customHeight="true" outlineLevel="0" collapsed="false">
      <c r="A32" s="7"/>
      <c r="B32" s="7"/>
      <c r="C32" s="7"/>
      <c r="D32" s="7"/>
      <c r="E32" s="7"/>
    </row>
    <row r="33" customFormat="false" ht="25.5" hidden="false" customHeight="true" outlineLevel="0" collapsed="false">
      <c r="A33" s="7"/>
      <c r="B33" s="7"/>
      <c r="C33" s="7"/>
      <c r="D33" s="7"/>
      <c r="E33" s="7"/>
    </row>
    <row r="34" customFormat="false" ht="25.5" hidden="false" customHeight="true" outlineLevel="0" collapsed="false">
      <c r="A34" s="7"/>
      <c r="B34" s="7"/>
      <c r="C34" s="7"/>
      <c r="D34" s="7"/>
      <c r="E34" s="7"/>
    </row>
    <row r="35" customFormat="false" ht="25.5" hidden="false" customHeight="true" outlineLevel="0" collapsed="false">
      <c r="A35" s="7"/>
      <c r="B35" s="7"/>
      <c r="C35" s="7"/>
      <c r="D35" s="7"/>
      <c r="E35" s="7"/>
    </row>
    <row r="36" customFormat="false" ht="25.5" hidden="false" customHeight="true" outlineLevel="0" collapsed="false">
      <c r="A36" s="7"/>
      <c r="B36" s="7"/>
      <c r="C36" s="7"/>
      <c r="D36" s="7"/>
      <c r="E36" s="7"/>
    </row>
    <row r="38" customFormat="false" ht="15" hidden="false" customHeight="true" outlineLevel="0" collapsed="false">
      <c r="A38" s="13" t="s">
        <v>61</v>
      </c>
    </row>
    <row r="39" customFormat="false" ht="33.75" hidden="false" customHeight="true" outlineLevel="0" collapsed="false">
      <c r="A39" s="15" t="s">
        <v>62</v>
      </c>
      <c r="B39" s="7" t="s">
        <v>64</v>
      </c>
      <c r="C39" s="7"/>
      <c r="D39" s="7"/>
      <c r="E39" s="7"/>
    </row>
    <row r="40" customFormat="false" ht="33.75" hidden="false" customHeight="true" outlineLevel="0" collapsed="false">
      <c r="A40" s="15" t="s">
        <v>63</v>
      </c>
      <c r="B40" s="7" t="s">
        <v>64</v>
      </c>
      <c r="C40" s="7"/>
      <c r="D40" s="7"/>
      <c r="E40" s="7"/>
    </row>
    <row r="41" customFormat="false" ht="33.75" hidden="false" customHeight="true" outlineLevel="0" collapsed="false">
      <c r="A41" s="15" t="s">
        <v>65</v>
      </c>
      <c r="B41" s="7" t="s">
        <v>46</v>
      </c>
      <c r="C41" s="7"/>
      <c r="D41" s="7"/>
      <c r="E41" s="7"/>
    </row>
    <row r="42" customFormat="false" ht="33.75" hidden="false" customHeight="true" outlineLevel="0" collapsed="false">
      <c r="A42" s="15" t="s">
        <v>66</v>
      </c>
      <c r="B42" s="7" t="s">
        <v>74</v>
      </c>
      <c r="C42" s="7"/>
      <c r="D42" s="7"/>
      <c r="E42" s="7"/>
    </row>
    <row r="43" customFormat="false" ht="33.75" hidden="false" customHeight="true" outlineLevel="0" collapsed="false">
      <c r="A43" s="15" t="s">
        <v>68</v>
      </c>
      <c r="B43" s="7" t="s">
        <v>75</v>
      </c>
      <c r="C43" s="7"/>
      <c r="D43" s="7"/>
      <c r="E43" s="7"/>
    </row>
    <row r="44" customFormat="false" ht="33.75" hidden="false" customHeight="true" outlineLevel="0" collapsed="false">
      <c r="A44" s="15" t="s">
        <v>69</v>
      </c>
      <c r="B44" s="7" t="s">
        <v>15</v>
      </c>
      <c r="C44" s="7"/>
      <c r="D44" s="7"/>
      <c r="E44" s="7"/>
    </row>
  </sheetData>
  <mergeCells count="10">
    <mergeCell ref="B4:E4"/>
    <mergeCell ref="B5:E5"/>
    <mergeCell ref="B6:E6"/>
    <mergeCell ref="A14:G14"/>
    <mergeCell ref="B39:E39"/>
    <mergeCell ref="B40:E40"/>
    <mergeCell ref="B41:E41"/>
    <mergeCell ref="B42:E42"/>
    <mergeCell ref="B43:E43"/>
    <mergeCell ref="B44:E44"/>
  </mergeCells>
  <dataValidations count="3">
    <dataValidation allowBlank="true" errorStyle="stop" operator="between" showDropDown="false" showErrorMessage="false" showInputMessage="false" sqref="C10:C12" type="list">
      <formula1>"Hoàn thành,Một phần,Thất bại"</formula1>
      <formula2>0</formula2>
    </dataValidation>
    <dataValidation allowBlank="true" errorStyle="stop" operator="between" showDropDown="false" showErrorMessage="false" showInputMessage="false" sqref="D17:D36" type="list">
      <formula1>"Điểm vướng,Lỗi thao tác,Do dự,Bực bội,Hiểu sai,Nhận xét tích cực"</formula1>
      <formula2>0</formula2>
    </dataValidation>
    <dataValidation allowBlank="true" errorStyle="stop" operator="between" showDropDown="false" showErrorMessage="false" showInputMessage="false" sqref="B17:B36" type="list">
      <formula1>"A1 - Danh sách Events,A2 - Form Add/Edit Event,A4 - Participants &amp; Reviews,Khác"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20"/>
    <col collapsed="false" customWidth="true" hidden="false" outlineLevel="0" max="6" min="6" style="1" width="14"/>
    <col collapsed="false" customWidth="true" hidden="false" outlineLevel="0" max="7" min="7" style="1" width="16"/>
  </cols>
  <sheetData>
    <row r="1" customFormat="false" ht="17.25" hidden="false" customHeight="true" outlineLevel="0" collapsed="false">
      <c r="A1" s="2" t="s">
        <v>76</v>
      </c>
    </row>
    <row r="2" customFormat="false" ht="15" hidden="false" customHeight="true" outlineLevel="0" collapsed="false">
      <c r="A2" s="3" t="s">
        <v>34</v>
      </c>
    </row>
    <row r="4" customFormat="false" ht="15" hidden="false" customHeight="true" outlineLevel="0" collapsed="false">
      <c r="A4" s="11" t="s">
        <v>35</v>
      </c>
      <c r="B4" s="12" t="s">
        <v>21</v>
      </c>
      <c r="C4" s="12"/>
      <c r="D4" s="12"/>
      <c r="E4" s="12"/>
    </row>
    <row r="5" customFormat="false" ht="15" hidden="false" customHeight="true" outlineLevel="0" collapsed="false">
      <c r="A5" s="11" t="s">
        <v>36</v>
      </c>
      <c r="B5" s="12" t="s">
        <v>77</v>
      </c>
      <c r="C5" s="12"/>
      <c r="D5" s="12"/>
      <c r="E5" s="12"/>
    </row>
    <row r="6" customFormat="false" ht="15" hidden="false" customHeight="true" outlineLevel="0" collapsed="false">
      <c r="A6" s="11" t="s">
        <v>78</v>
      </c>
      <c r="B6" s="12" t="s">
        <v>79</v>
      </c>
      <c r="C6" s="12"/>
      <c r="D6" s="12"/>
      <c r="E6" s="12"/>
    </row>
    <row r="8" customFormat="false" ht="15" hidden="false" customHeight="true" outlineLevel="0" collapsed="false">
      <c r="A8" s="13" t="s">
        <v>38</v>
      </c>
    </row>
    <row r="9" customFormat="false" ht="15" hidden="false" customHeight="true" outlineLevel="0" collapsed="false">
      <c r="A9" s="5" t="s">
        <v>39</v>
      </c>
      <c r="B9" s="5" t="s">
        <v>40</v>
      </c>
      <c r="C9" s="5" t="s">
        <v>41</v>
      </c>
      <c r="D9" s="5" t="s">
        <v>42</v>
      </c>
      <c r="E9" s="5" t="s">
        <v>43</v>
      </c>
      <c r="F9" s="5" t="s">
        <v>44</v>
      </c>
      <c r="G9" s="5" t="s">
        <v>45</v>
      </c>
    </row>
    <row r="10" customFormat="false" ht="39.75" hidden="false" customHeight="true" outlineLevel="0" collapsed="false">
      <c r="A10" s="14" t="s">
        <v>46</v>
      </c>
      <c r="B10" s="15" t="s">
        <v>47</v>
      </c>
      <c r="C10" s="16" t="s">
        <v>48</v>
      </c>
      <c r="D10" s="16" t="n">
        <v>19.41</v>
      </c>
      <c r="E10" s="16" t="n">
        <v>0</v>
      </c>
      <c r="F10" s="16" t="n">
        <v>0</v>
      </c>
      <c r="G10" s="16" t="n">
        <v>0</v>
      </c>
    </row>
    <row r="11" customFormat="false" ht="39.75" hidden="false" customHeight="true" outlineLevel="0" collapsed="false">
      <c r="A11" s="14" t="s">
        <v>49</v>
      </c>
      <c r="B11" s="15" t="s">
        <v>50</v>
      </c>
      <c r="C11" s="16" t="s">
        <v>48</v>
      </c>
      <c r="D11" s="16" t="n">
        <v>587</v>
      </c>
      <c r="E11" s="16" t="n">
        <v>0</v>
      </c>
      <c r="F11" s="16" t="n">
        <v>2</v>
      </c>
      <c r="G11" s="16" t="n">
        <v>0</v>
      </c>
    </row>
    <row r="12" customFormat="false" ht="39.75" hidden="false" customHeight="true" outlineLevel="0" collapsed="false">
      <c r="A12" s="14" t="s">
        <v>51</v>
      </c>
      <c r="B12" s="15" t="s">
        <v>52</v>
      </c>
      <c r="C12" s="16" t="s">
        <v>48</v>
      </c>
      <c r="D12" s="16" t="n">
        <v>13.01</v>
      </c>
      <c r="E12" s="16" t="n">
        <v>0</v>
      </c>
      <c r="F12" s="16" t="n">
        <v>0</v>
      </c>
      <c r="G12" s="16" t="n">
        <v>0</v>
      </c>
    </row>
    <row r="13" customFormat="false" ht="15" hidden="false" customHeight="true" outlineLevel="0" collapsed="false">
      <c r="A13" s="17"/>
      <c r="B13" s="18" t="s">
        <v>53</v>
      </c>
      <c r="C13" s="17"/>
      <c r="D13" s="19" t="n">
        <f aca="false">IF(COUNT(D10:D12)=0,"",SUM(D10:D12))</f>
        <v>619.42</v>
      </c>
      <c r="E13" s="19" t="n">
        <f aca="false">IF(COUNT(E10:E12)=0,"",SUM(E10:E12))</f>
        <v>0</v>
      </c>
      <c r="F13" s="19" t="n">
        <f aca="false">IF(COUNT(F10:F12)=0,"",SUM(F10:F12))</f>
        <v>2</v>
      </c>
      <c r="G13" s="19" t="n">
        <f aca="false">IF(COUNT(G10:G12)=0,"",SUM(G10:G12))</f>
        <v>0</v>
      </c>
    </row>
    <row r="14" customFormat="false" ht="14.25" hidden="false" customHeight="true" outlineLevel="0" collapsed="false">
      <c r="A14" s="20" t="s">
        <v>54</v>
      </c>
      <c r="B14" s="20"/>
      <c r="C14" s="20"/>
      <c r="D14" s="20"/>
      <c r="E14" s="20"/>
      <c r="F14" s="20"/>
      <c r="G14" s="20"/>
    </row>
    <row r="15" customFormat="false" ht="15" hidden="false" customHeight="true" outlineLevel="0" collapsed="false">
      <c r="A15" s="13" t="s">
        <v>55</v>
      </c>
    </row>
    <row r="16" customFormat="false" ht="15" hidden="false" customHeight="true" outlineLevel="0" collapsed="false">
      <c r="A16" s="5" t="s">
        <v>56</v>
      </c>
      <c r="B16" s="5" t="s">
        <v>57</v>
      </c>
      <c r="C16" s="5" t="s">
        <v>58</v>
      </c>
      <c r="D16" s="5" t="s">
        <v>59</v>
      </c>
      <c r="E16" s="5" t="s">
        <v>60</v>
      </c>
    </row>
    <row r="17" customFormat="false" ht="25.5" hidden="false" customHeight="true" outlineLevel="0" collapsed="false">
      <c r="A17" s="7" t="s">
        <v>80</v>
      </c>
      <c r="B17" s="7" t="s">
        <v>81</v>
      </c>
      <c r="C17" s="7" t="s">
        <v>82</v>
      </c>
      <c r="D17" s="7" t="s">
        <v>83</v>
      </c>
      <c r="E17" s="7"/>
    </row>
    <row r="18" customFormat="false" ht="25.5" hidden="false" customHeight="true" outlineLevel="0" collapsed="false">
      <c r="A18" s="7" t="s">
        <v>80</v>
      </c>
      <c r="B18" s="7" t="s">
        <v>81</v>
      </c>
      <c r="C18" s="7" t="s">
        <v>84</v>
      </c>
      <c r="D18" s="7" t="s">
        <v>83</v>
      </c>
      <c r="E18" s="7"/>
    </row>
    <row r="19" customFormat="false" ht="25.5" hidden="false" customHeight="true" outlineLevel="0" collapsed="false">
      <c r="A19" s="7"/>
      <c r="B19" s="7"/>
      <c r="C19" s="7"/>
      <c r="D19" s="7"/>
      <c r="E19" s="7"/>
    </row>
    <row r="20" customFormat="false" ht="25.5" hidden="false" customHeight="true" outlineLevel="0" collapsed="false">
      <c r="A20" s="7"/>
      <c r="B20" s="7"/>
      <c r="C20" s="7"/>
      <c r="D20" s="7"/>
      <c r="E20" s="7"/>
    </row>
    <row r="21" customFormat="false" ht="25.5" hidden="false" customHeight="true" outlineLevel="0" collapsed="false">
      <c r="A21" s="7"/>
      <c r="B21" s="7"/>
      <c r="C21" s="7"/>
      <c r="D21" s="7"/>
      <c r="E21" s="7"/>
    </row>
    <row r="22" customFormat="false" ht="25.5" hidden="false" customHeight="true" outlineLevel="0" collapsed="false">
      <c r="A22" s="7"/>
      <c r="B22" s="7"/>
      <c r="C22" s="7"/>
      <c r="D22" s="7"/>
      <c r="E22" s="7"/>
    </row>
    <row r="23" customFormat="false" ht="25.5" hidden="false" customHeight="true" outlineLevel="0" collapsed="false">
      <c r="A23" s="7"/>
      <c r="B23" s="7"/>
      <c r="C23" s="7"/>
      <c r="D23" s="7"/>
      <c r="E23" s="7"/>
    </row>
    <row r="24" customFormat="false" ht="25.5" hidden="false" customHeight="true" outlineLevel="0" collapsed="false">
      <c r="A24" s="7"/>
      <c r="B24" s="7"/>
      <c r="C24" s="7"/>
      <c r="D24" s="7"/>
      <c r="E24" s="7"/>
    </row>
    <row r="25" customFormat="false" ht="25.5" hidden="false" customHeight="true" outlineLevel="0" collapsed="false">
      <c r="A25" s="7"/>
      <c r="B25" s="7"/>
      <c r="C25" s="7"/>
      <c r="D25" s="7"/>
      <c r="E25" s="7"/>
    </row>
    <row r="26" customFormat="false" ht="25.5" hidden="false" customHeight="true" outlineLevel="0" collapsed="false">
      <c r="A26" s="7"/>
      <c r="B26" s="7"/>
      <c r="C26" s="7"/>
      <c r="D26" s="7"/>
      <c r="E26" s="7"/>
    </row>
    <row r="27" customFormat="false" ht="25.5" hidden="false" customHeight="true" outlineLevel="0" collapsed="false">
      <c r="A27" s="7"/>
      <c r="B27" s="7"/>
      <c r="C27" s="7"/>
      <c r="D27" s="7"/>
      <c r="E27" s="7"/>
    </row>
    <row r="28" customFormat="false" ht="25.5" hidden="false" customHeight="true" outlineLevel="0" collapsed="false">
      <c r="A28" s="7"/>
      <c r="B28" s="7"/>
      <c r="C28" s="7"/>
      <c r="D28" s="7"/>
      <c r="E28" s="7"/>
    </row>
    <row r="29" customFormat="false" ht="25.5" hidden="false" customHeight="true" outlineLevel="0" collapsed="false">
      <c r="A29" s="7"/>
      <c r="B29" s="7"/>
      <c r="C29" s="7"/>
      <c r="D29" s="7"/>
      <c r="E29" s="7"/>
    </row>
    <row r="30" customFormat="false" ht="25.5" hidden="false" customHeight="true" outlineLevel="0" collapsed="false">
      <c r="A30" s="7"/>
      <c r="B30" s="7"/>
      <c r="C30" s="7"/>
      <c r="D30" s="7"/>
      <c r="E30" s="7"/>
    </row>
    <row r="31" customFormat="false" ht="25.5" hidden="false" customHeight="true" outlineLevel="0" collapsed="false">
      <c r="A31" s="7"/>
      <c r="B31" s="7"/>
      <c r="C31" s="7"/>
      <c r="D31" s="7"/>
      <c r="E31" s="7"/>
    </row>
    <row r="32" customFormat="false" ht="25.5" hidden="false" customHeight="true" outlineLevel="0" collapsed="false">
      <c r="A32" s="7"/>
      <c r="B32" s="7"/>
      <c r="C32" s="7"/>
      <c r="D32" s="7"/>
      <c r="E32" s="7"/>
    </row>
    <row r="33" customFormat="false" ht="25.5" hidden="false" customHeight="true" outlineLevel="0" collapsed="false">
      <c r="A33" s="7"/>
      <c r="B33" s="7"/>
      <c r="C33" s="7"/>
      <c r="D33" s="7"/>
      <c r="E33" s="7"/>
    </row>
    <row r="34" customFormat="false" ht="25.5" hidden="false" customHeight="true" outlineLevel="0" collapsed="false">
      <c r="A34" s="7"/>
      <c r="B34" s="7"/>
      <c r="C34" s="7"/>
      <c r="D34" s="7"/>
      <c r="E34" s="7"/>
    </row>
    <row r="35" customFormat="false" ht="25.5" hidden="false" customHeight="true" outlineLevel="0" collapsed="false">
      <c r="A35" s="7"/>
      <c r="B35" s="7"/>
      <c r="C35" s="7"/>
      <c r="D35" s="7"/>
      <c r="E35" s="7"/>
    </row>
    <row r="36" customFormat="false" ht="25.5" hidden="false" customHeight="true" outlineLevel="0" collapsed="false">
      <c r="A36" s="7"/>
      <c r="B36" s="7"/>
      <c r="C36" s="7"/>
      <c r="D36" s="7"/>
      <c r="E36" s="7"/>
    </row>
    <row r="38" customFormat="false" ht="15" hidden="false" customHeight="true" outlineLevel="0" collapsed="false">
      <c r="A38" s="13" t="s">
        <v>61</v>
      </c>
    </row>
    <row r="39" customFormat="false" ht="33.75" hidden="false" customHeight="true" outlineLevel="0" collapsed="false">
      <c r="A39" s="15" t="s">
        <v>62</v>
      </c>
      <c r="B39" s="7" t="s">
        <v>64</v>
      </c>
      <c r="C39" s="7"/>
      <c r="D39" s="7"/>
      <c r="E39" s="7"/>
    </row>
    <row r="40" customFormat="false" ht="33.75" hidden="false" customHeight="true" outlineLevel="0" collapsed="false">
      <c r="A40" s="15" t="s">
        <v>63</v>
      </c>
      <c r="B40" s="7" t="s">
        <v>85</v>
      </c>
      <c r="C40" s="7"/>
      <c r="D40" s="7"/>
      <c r="E40" s="7"/>
    </row>
    <row r="41" customFormat="false" ht="33.75" hidden="false" customHeight="true" outlineLevel="0" collapsed="false">
      <c r="A41" s="15" t="s">
        <v>65</v>
      </c>
      <c r="B41" s="7" t="s">
        <v>86</v>
      </c>
      <c r="C41" s="7"/>
      <c r="D41" s="7"/>
      <c r="E41" s="7"/>
    </row>
    <row r="42" customFormat="false" ht="33.75" hidden="false" customHeight="true" outlineLevel="0" collapsed="false">
      <c r="A42" s="15" t="s">
        <v>66</v>
      </c>
      <c r="B42" s="7" t="s">
        <v>87</v>
      </c>
      <c r="C42" s="7"/>
      <c r="D42" s="7"/>
      <c r="E42" s="7"/>
    </row>
    <row r="43" customFormat="false" ht="33.75" hidden="false" customHeight="true" outlineLevel="0" collapsed="false">
      <c r="A43" s="15" t="s">
        <v>68</v>
      </c>
      <c r="B43" s="7" t="s">
        <v>88</v>
      </c>
      <c r="C43" s="7"/>
      <c r="D43" s="7"/>
      <c r="E43" s="7"/>
    </row>
    <row r="44" customFormat="false" ht="33.75" hidden="false" customHeight="true" outlineLevel="0" collapsed="false">
      <c r="A44" s="15" t="s">
        <v>69</v>
      </c>
      <c r="B44" s="7" t="s">
        <v>89</v>
      </c>
      <c r="C44" s="7"/>
      <c r="D44" s="7"/>
      <c r="E44" s="7"/>
    </row>
  </sheetData>
  <mergeCells count="10">
    <mergeCell ref="B4:E4"/>
    <mergeCell ref="B5:E5"/>
    <mergeCell ref="B6:E6"/>
    <mergeCell ref="A14:G14"/>
    <mergeCell ref="B39:E39"/>
    <mergeCell ref="B40:E40"/>
    <mergeCell ref="B41:E41"/>
    <mergeCell ref="B42:E42"/>
    <mergeCell ref="B43:E43"/>
    <mergeCell ref="B44:E44"/>
  </mergeCells>
  <dataValidations count="3">
    <dataValidation allowBlank="true" errorStyle="stop" operator="between" showDropDown="false" showErrorMessage="false" showInputMessage="false" sqref="C10:C12" type="list">
      <formula1>"Hoàn thành,Một phần,Thất bại"</formula1>
      <formula2>0</formula2>
    </dataValidation>
    <dataValidation allowBlank="true" errorStyle="stop" operator="between" showDropDown="false" showErrorMessage="false" showInputMessage="false" sqref="D17:D36" type="list">
      <formula1>"Điểm vướng,Lỗi thao tác,Do dự,Bực bội,Hiểu sai,Nhận xét tích cực"</formula1>
      <formula2>0</formula2>
    </dataValidation>
    <dataValidation allowBlank="true" errorStyle="stop" operator="between" showDropDown="false" showErrorMessage="false" showInputMessage="false" sqref="B17:B36" type="list">
      <formula1>"A1 - Danh sách Events,A2 - Form Add/Edit Event,A4 - Participants &amp; Reviews,Khác"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20"/>
    <col collapsed="false" customWidth="true" hidden="false" outlineLevel="0" max="6" min="6" style="1" width="14"/>
    <col collapsed="false" customWidth="true" hidden="false" outlineLevel="0" max="7" min="7" style="1" width="16"/>
  </cols>
  <sheetData>
    <row r="1" customFormat="false" ht="17.25" hidden="false" customHeight="true" outlineLevel="0" collapsed="false">
      <c r="A1" s="2" t="s">
        <v>90</v>
      </c>
    </row>
    <row r="2" customFormat="false" ht="15" hidden="false" customHeight="true" outlineLevel="0" collapsed="false">
      <c r="A2" s="3" t="s">
        <v>34</v>
      </c>
    </row>
    <row r="4" customFormat="false" ht="15" hidden="false" customHeight="true" outlineLevel="0" collapsed="false">
      <c r="A4" s="11" t="s">
        <v>35</v>
      </c>
      <c r="B4" s="12" t="s">
        <v>25</v>
      </c>
      <c r="C4" s="12"/>
      <c r="D4" s="12"/>
      <c r="E4" s="12"/>
    </row>
    <row r="5" customFormat="false" ht="15" hidden="false" customHeight="true" outlineLevel="0" collapsed="false">
      <c r="A5" s="11" t="s">
        <v>36</v>
      </c>
      <c r="B5" s="12" t="s">
        <v>91</v>
      </c>
      <c r="C5" s="12"/>
      <c r="D5" s="12"/>
      <c r="E5" s="12"/>
    </row>
    <row r="6" customFormat="false" ht="15" hidden="false" customHeight="true" outlineLevel="0" collapsed="false">
      <c r="A6" s="11" t="s">
        <v>92</v>
      </c>
      <c r="B6" s="12"/>
      <c r="C6" s="12"/>
      <c r="D6" s="12"/>
      <c r="E6" s="12"/>
    </row>
    <row r="8" customFormat="false" ht="15" hidden="false" customHeight="true" outlineLevel="0" collapsed="false">
      <c r="A8" s="13" t="s">
        <v>38</v>
      </c>
    </row>
    <row r="9" customFormat="false" ht="15" hidden="false" customHeight="true" outlineLevel="0" collapsed="false">
      <c r="A9" s="5" t="s">
        <v>39</v>
      </c>
      <c r="B9" s="5" t="s">
        <v>40</v>
      </c>
      <c r="C9" s="5" t="s">
        <v>41</v>
      </c>
      <c r="D9" s="5" t="s">
        <v>42</v>
      </c>
      <c r="E9" s="5" t="s">
        <v>43</v>
      </c>
      <c r="F9" s="5" t="s">
        <v>44</v>
      </c>
      <c r="G9" s="5" t="s">
        <v>45</v>
      </c>
    </row>
    <row r="10" customFormat="false" ht="39.75" hidden="false" customHeight="true" outlineLevel="0" collapsed="false">
      <c r="A10" s="14" t="s">
        <v>46</v>
      </c>
      <c r="B10" s="15" t="s">
        <v>47</v>
      </c>
      <c r="C10" s="16" t="s">
        <v>48</v>
      </c>
      <c r="D10" s="16" t="n">
        <v>70</v>
      </c>
      <c r="E10" s="16" t="n">
        <v>0</v>
      </c>
      <c r="F10" s="16" t="n">
        <v>1</v>
      </c>
      <c r="G10" s="16" t="n">
        <v>0</v>
      </c>
    </row>
    <row r="11" customFormat="false" ht="39.75" hidden="false" customHeight="true" outlineLevel="0" collapsed="false">
      <c r="A11" s="14" t="s">
        <v>49</v>
      </c>
      <c r="B11" s="15" t="s">
        <v>50</v>
      </c>
      <c r="C11" s="16" t="s">
        <v>48</v>
      </c>
      <c r="D11" s="16" t="n">
        <v>300</v>
      </c>
      <c r="E11" s="16" t="n">
        <v>1</v>
      </c>
      <c r="F11" s="16" t="n">
        <v>1</v>
      </c>
      <c r="G11" s="16" t="n">
        <v>0</v>
      </c>
    </row>
    <row r="12" customFormat="false" ht="39.75" hidden="false" customHeight="true" outlineLevel="0" collapsed="false">
      <c r="A12" s="14" t="s">
        <v>51</v>
      </c>
      <c r="B12" s="15" t="s">
        <v>52</v>
      </c>
      <c r="C12" s="16" t="s">
        <v>48</v>
      </c>
      <c r="D12" s="16" t="n">
        <v>15</v>
      </c>
      <c r="E12" s="16" t="n">
        <v>0</v>
      </c>
      <c r="F12" s="16" t="n">
        <v>0</v>
      </c>
      <c r="G12" s="16" t="n">
        <v>0</v>
      </c>
    </row>
    <row r="13" customFormat="false" ht="15" hidden="false" customHeight="true" outlineLevel="0" collapsed="false">
      <c r="A13" s="17"/>
      <c r="B13" s="18" t="s">
        <v>53</v>
      </c>
      <c r="C13" s="17"/>
      <c r="D13" s="19" t="n">
        <f aca="false">IF(COUNT(D10:D12)=0,"",SUM(D10:D12))</f>
        <v>385</v>
      </c>
      <c r="E13" s="19" t="n">
        <f aca="false">IF(COUNT(E10:E12)=0,"",SUM(E10:E12))</f>
        <v>1</v>
      </c>
      <c r="F13" s="19" t="n">
        <f aca="false">IF(COUNT(F10:F12)=0,"",SUM(F10:F12))</f>
        <v>2</v>
      </c>
      <c r="G13" s="19" t="n">
        <f aca="false">IF(COUNT(G10:G12)=0,"",SUM(G10:G12))</f>
        <v>0</v>
      </c>
    </row>
    <row r="14" customFormat="false" ht="14.25" hidden="false" customHeight="true" outlineLevel="0" collapsed="false">
      <c r="A14" s="20" t="s">
        <v>54</v>
      </c>
      <c r="B14" s="20"/>
      <c r="C14" s="20"/>
      <c r="D14" s="20"/>
      <c r="E14" s="20"/>
      <c r="F14" s="20"/>
      <c r="G14" s="20"/>
    </row>
    <row r="15" customFormat="false" ht="15" hidden="false" customHeight="true" outlineLevel="0" collapsed="false">
      <c r="A15" s="13" t="s">
        <v>55</v>
      </c>
    </row>
    <row r="16" customFormat="false" ht="15" hidden="false" customHeight="true" outlineLevel="0" collapsed="false">
      <c r="A16" s="5" t="s">
        <v>56</v>
      </c>
      <c r="B16" s="5" t="s">
        <v>57</v>
      </c>
      <c r="C16" s="5" t="s">
        <v>58</v>
      </c>
      <c r="D16" s="5" t="s">
        <v>59</v>
      </c>
      <c r="E16" s="5" t="s">
        <v>60</v>
      </c>
    </row>
    <row r="17" customFormat="false" ht="25.5" hidden="false" customHeight="true" outlineLevel="0" collapsed="false">
      <c r="A17" s="7" t="s">
        <v>93</v>
      </c>
      <c r="B17" s="7" t="s">
        <v>94</v>
      </c>
      <c r="C17" s="7" t="s">
        <v>95</v>
      </c>
      <c r="D17" s="7" t="s">
        <v>83</v>
      </c>
      <c r="E17" s="7"/>
    </row>
    <row r="18" customFormat="false" ht="25.5" hidden="false" customHeight="true" outlineLevel="0" collapsed="false">
      <c r="A18" s="7" t="s">
        <v>96</v>
      </c>
      <c r="B18" s="7" t="s">
        <v>81</v>
      </c>
      <c r="C18" s="7" t="s">
        <v>97</v>
      </c>
      <c r="D18" s="7" t="s">
        <v>83</v>
      </c>
      <c r="E18" s="7"/>
    </row>
    <row r="19" customFormat="false" ht="25.5" hidden="false" customHeight="true" outlineLevel="0" collapsed="false">
      <c r="A19" s="7" t="s">
        <v>98</v>
      </c>
      <c r="B19" s="7" t="s">
        <v>81</v>
      </c>
      <c r="C19" s="7" t="s">
        <v>99</v>
      </c>
      <c r="D19" s="7" t="s">
        <v>83</v>
      </c>
      <c r="E19" s="7"/>
    </row>
    <row r="20" customFormat="false" ht="25.5" hidden="false" customHeight="true" outlineLevel="0" collapsed="false">
      <c r="A20" s="7" t="s">
        <v>100</v>
      </c>
      <c r="B20" s="7" t="s">
        <v>81</v>
      </c>
      <c r="C20" s="7" t="s">
        <v>101</v>
      </c>
      <c r="D20" s="7" t="s">
        <v>102</v>
      </c>
      <c r="E20" s="7"/>
    </row>
    <row r="21" customFormat="false" ht="25.5" hidden="false" customHeight="true" outlineLevel="0" collapsed="false">
      <c r="A21" s="7" t="s">
        <v>103</v>
      </c>
      <c r="B21" s="7" t="s">
        <v>81</v>
      </c>
      <c r="C21" s="7" t="s">
        <v>104</v>
      </c>
      <c r="D21" s="7" t="s">
        <v>105</v>
      </c>
      <c r="E21" s="7"/>
    </row>
    <row r="22" customFormat="false" ht="25.5" hidden="false" customHeight="true" outlineLevel="0" collapsed="false">
      <c r="A22" s="7"/>
      <c r="B22" s="7"/>
      <c r="C22" s="7"/>
      <c r="D22" s="7"/>
      <c r="E22" s="7"/>
    </row>
    <row r="23" customFormat="false" ht="25.5" hidden="false" customHeight="true" outlineLevel="0" collapsed="false">
      <c r="A23" s="7"/>
      <c r="B23" s="7"/>
      <c r="C23" s="7"/>
      <c r="D23" s="7"/>
      <c r="E23" s="7"/>
    </row>
    <row r="24" customFormat="false" ht="25.5" hidden="false" customHeight="true" outlineLevel="0" collapsed="false">
      <c r="A24" s="7"/>
      <c r="B24" s="7"/>
      <c r="C24" s="7"/>
      <c r="D24" s="7"/>
      <c r="E24" s="7"/>
    </row>
    <row r="25" customFormat="false" ht="25.5" hidden="false" customHeight="true" outlineLevel="0" collapsed="false">
      <c r="A25" s="7"/>
      <c r="B25" s="7"/>
      <c r="C25" s="7"/>
      <c r="D25" s="7"/>
      <c r="E25" s="7"/>
    </row>
    <row r="26" customFormat="false" ht="25.5" hidden="false" customHeight="true" outlineLevel="0" collapsed="false">
      <c r="A26" s="7"/>
      <c r="B26" s="7"/>
      <c r="C26" s="7"/>
      <c r="D26" s="7"/>
      <c r="E26" s="7"/>
    </row>
    <row r="27" customFormat="false" ht="25.5" hidden="false" customHeight="true" outlineLevel="0" collapsed="false">
      <c r="A27" s="7"/>
      <c r="B27" s="7"/>
      <c r="C27" s="7"/>
      <c r="D27" s="7"/>
      <c r="E27" s="7"/>
    </row>
    <row r="28" customFormat="false" ht="25.5" hidden="false" customHeight="true" outlineLevel="0" collapsed="false">
      <c r="A28" s="7"/>
      <c r="B28" s="7"/>
      <c r="C28" s="7"/>
      <c r="D28" s="7"/>
      <c r="E28" s="7"/>
    </row>
    <row r="29" customFormat="false" ht="25.5" hidden="false" customHeight="true" outlineLevel="0" collapsed="false">
      <c r="A29" s="7"/>
      <c r="B29" s="7"/>
      <c r="C29" s="7"/>
      <c r="D29" s="7"/>
      <c r="E29" s="7"/>
    </row>
    <row r="30" customFormat="false" ht="25.5" hidden="false" customHeight="true" outlineLevel="0" collapsed="false">
      <c r="A30" s="7"/>
      <c r="B30" s="7"/>
      <c r="C30" s="7"/>
      <c r="D30" s="7"/>
      <c r="E30" s="7"/>
    </row>
    <row r="31" customFormat="false" ht="25.5" hidden="false" customHeight="true" outlineLevel="0" collapsed="false">
      <c r="A31" s="7"/>
      <c r="B31" s="7"/>
      <c r="C31" s="7"/>
      <c r="D31" s="7"/>
      <c r="E31" s="7"/>
    </row>
    <row r="32" customFormat="false" ht="25.5" hidden="false" customHeight="true" outlineLevel="0" collapsed="false">
      <c r="A32" s="7"/>
      <c r="B32" s="7"/>
      <c r="C32" s="7"/>
      <c r="D32" s="7"/>
      <c r="E32" s="7"/>
    </row>
    <row r="33" customFormat="false" ht="25.5" hidden="false" customHeight="true" outlineLevel="0" collapsed="false">
      <c r="A33" s="7"/>
      <c r="B33" s="7"/>
      <c r="C33" s="7"/>
      <c r="D33" s="7"/>
      <c r="E33" s="7"/>
    </row>
    <row r="34" customFormat="false" ht="25.5" hidden="false" customHeight="true" outlineLevel="0" collapsed="false">
      <c r="A34" s="7"/>
      <c r="B34" s="7"/>
      <c r="C34" s="7"/>
      <c r="D34" s="7"/>
      <c r="E34" s="7"/>
    </row>
    <row r="35" customFormat="false" ht="25.5" hidden="false" customHeight="true" outlineLevel="0" collapsed="false">
      <c r="A35" s="7"/>
      <c r="B35" s="7"/>
      <c r="C35" s="7"/>
      <c r="D35" s="7"/>
      <c r="E35" s="7"/>
    </row>
    <row r="36" customFormat="false" ht="25.5" hidden="false" customHeight="true" outlineLevel="0" collapsed="false">
      <c r="A36" s="7"/>
      <c r="B36" s="7"/>
      <c r="C36" s="7"/>
      <c r="D36" s="7"/>
      <c r="E36" s="7"/>
    </row>
    <row r="38" customFormat="false" ht="15" hidden="false" customHeight="true" outlineLevel="0" collapsed="false">
      <c r="A38" s="13" t="s">
        <v>61</v>
      </c>
    </row>
    <row r="39" customFormat="false" ht="33.75" hidden="false" customHeight="true" outlineLevel="0" collapsed="false">
      <c r="A39" s="15" t="s">
        <v>62</v>
      </c>
      <c r="B39" s="7" t="s">
        <v>106</v>
      </c>
      <c r="C39" s="7"/>
      <c r="D39" s="7"/>
      <c r="E39" s="7"/>
    </row>
    <row r="40" customFormat="false" ht="33.75" hidden="false" customHeight="true" outlineLevel="0" collapsed="false">
      <c r="A40" s="15" t="s">
        <v>63</v>
      </c>
      <c r="B40" s="7" t="s">
        <v>107</v>
      </c>
      <c r="C40" s="7"/>
      <c r="D40" s="7"/>
      <c r="E40" s="7"/>
    </row>
    <row r="41" customFormat="false" ht="33.75" hidden="false" customHeight="true" outlineLevel="0" collapsed="false">
      <c r="A41" s="15" t="s">
        <v>65</v>
      </c>
      <c r="B41" s="7" t="s">
        <v>108</v>
      </c>
      <c r="C41" s="7"/>
      <c r="D41" s="7"/>
      <c r="E41" s="7"/>
    </row>
    <row r="42" customFormat="false" ht="33.75" hidden="false" customHeight="true" outlineLevel="0" collapsed="false">
      <c r="A42" s="15" t="s">
        <v>66</v>
      </c>
      <c r="B42" s="7" t="s">
        <v>109</v>
      </c>
      <c r="C42" s="7"/>
      <c r="D42" s="7"/>
      <c r="E42" s="7"/>
    </row>
    <row r="43" customFormat="false" ht="33.75" hidden="false" customHeight="true" outlineLevel="0" collapsed="false">
      <c r="A43" s="15" t="s">
        <v>68</v>
      </c>
      <c r="B43" s="7" t="s">
        <v>110</v>
      </c>
      <c r="C43" s="7"/>
      <c r="D43" s="7"/>
      <c r="E43" s="7"/>
    </row>
    <row r="44" customFormat="false" ht="33.75" hidden="false" customHeight="true" outlineLevel="0" collapsed="false">
      <c r="A44" s="15" t="s">
        <v>69</v>
      </c>
      <c r="B44" s="7" t="s">
        <v>111</v>
      </c>
      <c r="C44" s="7"/>
      <c r="D44" s="7"/>
      <c r="E44" s="7"/>
    </row>
  </sheetData>
  <mergeCells count="10">
    <mergeCell ref="B4:E4"/>
    <mergeCell ref="B5:E5"/>
    <mergeCell ref="B6:E6"/>
    <mergeCell ref="A14:G14"/>
    <mergeCell ref="B39:E39"/>
    <mergeCell ref="B40:E40"/>
    <mergeCell ref="B41:E41"/>
    <mergeCell ref="B42:E42"/>
    <mergeCell ref="B43:E43"/>
    <mergeCell ref="B44:E44"/>
  </mergeCells>
  <dataValidations count="3">
    <dataValidation allowBlank="true" errorStyle="stop" operator="between" showDropDown="false" showErrorMessage="false" showInputMessage="false" sqref="C10:C12" type="list">
      <formula1>"Hoàn thành,Một phần,Thất bại"</formula1>
      <formula2>0</formula2>
    </dataValidation>
    <dataValidation allowBlank="true" errorStyle="stop" operator="between" showDropDown="false" showErrorMessage="false" showInputMessage="false" sqref="D17:D36" type="list">
      <formula1>"Điểm vướng,Lỗi thao tác,Do dự,Bực bội,Hiểu sai,Nhận xét tích cực"</formula1>
      <formula2>0</formula2>
    </dataValidation>
    <dataValidation allowBlank="true" errorStyle="stop" operator="between" showDropDown="false" showErrorMessage="false" showInputMessage="false" sqref="B17:B36" type="list">
      <formula1>"A1 - Danh sách Events,A2 - Form Add/Edit Event,A4 - Participants &amp; Reviews,Khác"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20"/>
    <col collapsed="false" customWidth="true" hidden="false" outlineLevel="0" max="6" min="6" style="1" width="14"/>
    <col collapsed="false" customWidth="true" hidden="false" outlineLevel="0" max="7" min="7" style="1" width="16"/>
  </cols>
  <sheetData>
    <row r="1" customFormat="false" ht="17.25" hidden="false" customHeight="true" outlineLevel="0" collapsed="false">
      <c r="A1" s="2" t="s">
        <v>112</v>
      </c>
    </row>
    <row r="2" customFormat="false" ht="15" hidden="false" customHeight="true" outlineLevel="0" collapsed="false">
      <c r="A2" s="3" t="s">
        <v>34</v>
      </c>
    </row>
    <row r="4" customFormat="false" ht="15" hidden="false" customHeight="true" outlineLevel="0" collapsed="false">
      <c r="A4" s="11" t="s">
        <v>35</v>
      </c>
      <c r="B4" s="12" t="s">
        <v>30</v>
      </c>
      <c r="C4" s="12"/>
      <c r="D4" s="12"/>
      <c r="E4" s="12"/>
    </row>
    <row r="5" customFormat="false" ht="15" hidden="false" customHeight="true" outlineLevel="0" collapsed="false">
      <c r="A5" s="11" t="s">
        <v>36</v>
      </c>
      <c r="B5" s="12"/>
      <c r="C5" s="12"/>
      <c r="D5" s="12"/>
      <c r="E5" s="12"/>
    </row>
    <row r="6" customFormat="false" ht="15" hidden="false" customHeight="true" outlineLevel="0" collapsed="false">
      <c r="A6" s="11" t="s">
        <v>113</v>
      </c>
      <c r="B6" s="12"/>
      <c r="C6" s="12"/>
      <c r="D6" s="12"/>
      <c r="E6" s="12"/>
    </row>
    <row r="8" customFormat="false" ht="15" hidden="false" customHeight="true" outlineLevel="0" collapsed="false">
      <c r="A8" s="13" t="s">
        <v>38</v>
      </c>
    </row>
    <row r="9" customFormat="false" ht="15" hidden="false" customHeight="true" outlineLevel="0" collapsed="false">
      <c r="A9" s="5" t="s">
        <v>39</v>
      </c>
      <c r="B9" s="5" t="s">
        <v>40</v>
      </c>
      <c r="C9" s="5" t="s">
        <v>41</v>
      </c>
      <c r="D9" s="5" t="s">
        <v>42</v>
      </c>
      <c r="E9" s="5" t="s">
        <v>43</v>
      </c>
      <c r="F9" s="5" t="s">
        <v>44</v>
      </c>
      <c r="G9" s="5" t="s">
        <v>45</v>
      </c>
    </row>
    <row r="10" customFormat="false" ht="39.75" hidden="false" customHeight="true" outlineLevel="0" collapsed="false">
      <c r="A10" s="14" t="s">
        <v>46</v>
      </c>
      <c r="B10" s="15" t="s">
        <v>47</v>
      </c>
      <c r="C10" s="16" t="s">
        <v>48</v>
      </c>
      <c r="D10" s="16" t="n">
        <v>120</v>
      </c>
      <c r="E10" s="16" t="n">
        <v>0</v>
      </c>
      <c r="F10" s="16" t="n">
        <v>1</v>
      </c>
      <c r="G10" s="16" t="n">
        <v>0</v>
      </c>
    </row>
    <row r="11" customFormat="false" ht="39.75" hidden="false" customHeight="true" outlineLevel="0" collapsed="false">
      <c r="A11" s="14" t="s">
        <v>49</v>
      </c>
      <c r="B11" s="15" t="s">
        <v>50</v>
      </c>
      <c r="C11" s="16" t="s">
        <v>48</v>
      </c>
      <c r="D11" s="16" t="n">
        <v>300</v>
      </c>
      <c r="E11" s="16" t="n">
        <v>0</v>
      </c>
      <c r="F11" s="16" t="n">
        <v>0</v>
      </c>
      <c r="G11" s="16" t="n">
        <v>0</v>
      </c>
    </row>
    <row r="12" customFormat="false" ht="39.75" hidden="false" customHeight="true" outlineLevel="0" collapsed="false">
      <c r="A12" s="14" t="s">
        <v>51</v>
      </c>
      <c r="B12" s="15" t="s">
        <v>52</v>
      </c>
      <c r="C12" s="16" t="s">
        <v>48</v>
      </c>
      <c r="D12" s="16" t="n">
        <v>120</v>
      </c>
      <c r="E12" s="16" t="n">
        <v>0</v>
      </c>
      <c r="F12" s="16" t="n">
        <v>0</v>
      </c>
      <c r="G12" s="16" t="n">
        <v>0</v>
      </c>
    </row>
    <row r="13" customFormat="false" ht="15" hidden="false" customHeight="true" outlineLevel="0" collapsed="false">
      <c r="A13" s="17"/>
      <c r="B13" s="18" t="s">
        <v>53</v>
      </c>
      <c r="C13" s="17"/>
      <c r="D13" s="19" t="n">
        <f aca="false">IF(COUNT(D10:D12)=0,"",SUM(D10:D12))</f>
        <v>540</v>
      </c>
      <c r="E13" s="19" t="n">
        <f aca="false">IF(COUNT(E10:E12)=0,"",SUM(E10:E12))</f>
        <v>0</v>
      </c>
      <c r="F13" s="19" t="n">
        <f aca="false">IF(COUNT(F10:F12)=0,"",SUM(F10:F12))</f>
        <v>1</v>
      </c>
      <c r="G13" s="19" t="n">
        <f aca="false">IF(COUNT(G10:G12)=0,"",SUM(G10:G12))</f>
        <v>0</v>
      </c>
    </row>
    <row r="14" customFormat="false" ht="14.25" hidden="false" customHeight="true" outlineLevel="0" collapsed="false">
      <c r="A14" s="20" t="s">
        <v>54</v>
      </c>
      <c r="B14" s="20"/>
      <c r="C14" s="20"/>
      <c r="D14" s="20"/>
      <c r="E14" s="20"/>
      <c r="F14" s="20"/>
      <c r="G14" s="20"/>
    </row>
    <row r="15" customFormat="false" ht="15" hidden="false" customHeight="true" outlineLevel="0" collapsed="false">
      <c r="A15" s="13" t="s">
        <v>55</v>
      </c>
    </row>
    <row r="16" customFormat="false" ht="15" hidden="false" customHeight="true" outlineLevel="0" collapsed="false">
      <c r="A16" s="5" t="s">
        <v>56</v>
      </c>
      <c r="B16" s="5" t="s">
        <v>57</v>
      </c>
      <c r="C16" s="5" t="s">
        <v>58</v>
      </c>
      <c r="D16" s="5" t="s">
        <v>59</v>
      </c>
      <c r="E16" s="5" t="s">
        <v>60</v>
      </c>
    </row>
    <row r="17" customFormat="false" ht="25.5" hidden="false" customHeight="true" outlineLevel="0" collapsed="false">
      <c r="A17" s="7"/>
      <c r="B17" s="7"/>
      <c r="C17" s="7"/>
      <c r="D17" s="7"/>
      <c r="E17" s="7"/>
    </row>
    <row r="18" customFormat="false" ht="25.5" hidden="false" customHeight="true" outlineLevel="0" collapsed="false">
      <c r="A18" s="7"/>
      <c r="B18" s="7"/>
      <c r="C18" s="7"/>
      <c r="D18" s="7"/>
      <c r="E18" s="7"/>
    </row>
    <row r="19" customFormat="false" ht="25.5" hidden="false" customHeight="true" outlineLevel="0" collapsed="false">
      <c r="A19" s="7"/>
      <c r="B19" s="7"/>
      <c r="C19" s="7"/>
      <c r="D19" s="7"/>
      <c r="E19" s="7"/>
    </row>
    <row r="20" customFormat="false" ht="25.5" hidden="false" customHeight="true" outlineLevel="0" collapsed="false">
      <c r="A20" s="7"/>
      <c r="B20" s="7"/>
      <c r="C20" s="7"/>
      <c r="D20" s="7"/>
      <c r="E20" s="7"/>
    </row>
    <row r="21" customFormat="false" ht="25.5" hidden="false" customHeight="true" outlineLevel="0" collapsed="false">
      <c r="A21" s="7"/>
      <c r="B21" s="7"/>
      <c r="C21" s="7"/>
      <c r="D21" s="7"/>
      <c r="E21" s="7"/>
    </row>
    <row r="22" customFormat="false" ht="25.5" hidden="false" customHeight="true" outlineLevel="0" collapsed="false">
      <c r="A22" s="7"/>
      <c r="B22" s="7"/>
      <c r="C22" s="7"/>
      <c r="D22" s="7"/>
      <c r="E22" s="7"/>
    </row>
    <row r="23" customFormat="false" ht="25.5" hidden="false" customHeight="true" outlineLevel="0" collapsed="false">
      <c r="A23" s="7"/>
      <c r="B23" s="7"/>
      <c r="C23" s="7"/>
      <c r="D23" s="7"/>
      <c r="E23" s="7"/>
    </row>
    <row r="24" customFormat="false" ht="25.5" hidden="false" customHeight="true" outlineLevel="0" collapsed="false">
      <c r="A24" s="7"/>
      <c r="B24" s="7"/>
      <c r="C24" s="7"/>
      <c r="D24" s="7"/>
      <c r="E24" s="7"/>
    </row>
    <row r="25" customFormat="false" ht="25.5" hidden="false" customHeight="true" outlineLevel="0" collapsed="false">
      <c r="A25" s="7"/>
      <c r="B25" s="7"/>
      <c r="C25" s="7"/>
      <c r="D25" s="7"/>
      <c r="E25" s="7"/>
    </row>
    <row r="26" customFormat="false" ht="25.5" hidden="false" customHeight="true" outlineLevel="0" collapsed="false">
      <c r="A26" s="7"/>
      <c r="B26" s="7"/>
      <c r="C26" s="7"/>
      <c r="D26" s="7"/>
      <c r="E26" s="7"/>
    </row>
    <row r="27" customFormat="false" ht="25.5" hidden="false" customHeight="true" outlineLevel="0" collapsed="false">
      <c r="A27" s="7"/>
      <c r="B27" s="7"/>
      <c r="C27" s="7"/>
      <c r="D27" s="7"/>
      <c r="E27" s="7"/>
    </row>
    <row r="28" customFormat="false" ht="25.5" hidden="false" customHeight="true" outlineLevel="0" collapsed="false">
      <c r="A28" s="7"/>
      <c r="B28" s="7"/>
      <c r="C28" s="7"/>
      <c r="D28" s="7"/>
      <c r="E28" s="7"/>
    </row>
    <row r="29" customFormat="false" ht="25.5" hidden="false" customHeight="true" outlineLevel="0" collapsed="false">
      <c r="A29" s="7"/>
      <c r="B29" s="7"/>
      <c r="C29" s="7"/>
      <c r="D29" s="7"/>
      <c r="E29" s="7"/>
    </row>
    <row r="30" customFormat="false" ht="25.5" hidden="false" customHeight="true" outlineLevel="0" collapsed="false">
      <c r="A30" s="7"/>
      <c r="B30" s="7"/>
      <c r="C30" s="7"/>
      <c r="D30" s="7"/>
      <c r="E30" s="7"/>
    </row>
    <row r="31" customFormat="false" ht="25.5" hidden="false" customHeight="true" outlineLevel="0" collapsed="false">
      <c r="A31" s="7"/>
      <c r="B31" s="7"/>
      <c r="C31" s="7"/>
      <c r="D31" s="7"/>
      <c r="E31" s="7"/>
    </row>
    <row r="32" customFormat="false" ht="25.5" hidden="false" customHeight="true" outlineLevel="0" collapsed="false">
      <c r="A32" s="7"/>
      <c r="B32" s="7"/>
      <c r="C32" s="7"/>
      <c r="D32" s="7"/>
      <c r="E32" s="7"/>
    </row>
    <row r="33" customFormat="false" ht="25.5" hidden="false" customHeight="true" outlineLevel="0" collapsed="false">
      <c r="A33" s="7"/>
      <c r="B33" s="7"/>
      <c r="C33" s="7"/>
      <c r="D33" s="7"/>
      <c r="E33" s="7"/>
    </row>
    <row r="34" customFormat="false" ht="25.5" hidden="false" customHeight="true" outlineLevel="0" collapsed="false">
      <c r="A34" s="7"/>
      <c r="B34" s="7"/>
      <c r="C34" s="7"/>
      <c r="D34" s="7"/>
      <c r="E34" s="7"/>
    </row>
    <row r="35" customFormat="false" ht="25.5" hidden="false" customHeight="true" outlineLevel="0" collapsed="false">
      <c r="A35" s="7"/>
      <c r="B35" s="7"/>
      <c r="C35" s="7"/>
      <c r="D35" s="7"/>
      <c r="E35" s="7"/>
    </row>
    <row r="36" customFormat="false" ht="25.5" hidden="false" customHeight="true" outlineLevel="0" collapsed="false">
      <c r="A36" s="7"/>
      <c r="B36" s="7"/>
      <c r="C36" s="7"/>
      <c r="D36" s="7"/>
      <c r="E36" s="7"/>
    </row>
    <row r="38" customFormat="false" ht="15" hidden="false" customHeight="true" outlineLevel="0" collapsed="false">
      <c r="A38" s="13" t="s">
        <v>61</v>
      </c>
    </row>
    <row r="39" customFormat="false" ht="33.75" hidden="false" customHeight="true" outlineLevel="0" collapsed="false">
      <c r="A39" s="15" t="s">
        <v>62</v>
      </c>
      <c r="B39" s="7" t="s">
        <v>114</v>
      </c>
      <c r="C39" s="7"/>
      <c r="D39" s="7"/>
      <c r="E39" s="7"/>
    </row>
    <row r="40" customFormat="false" ht="33.75" hidden="false" customHeight="true" outlineLevel="0" collapsed="false">
      <c r="A40" s="15" t="s">
        <v>63</v>
      </c>
      <c r="B40" s="7" t="s">
        <v>115</v>
      </c>
      <c r="C40" s="7"/>
      <c r="D40" s="7"/>
      <c r="E40" s="7"/>
    </row>
    <row r="41" customFormat="false" ht="33.75" hidden="false" customHeight="true" outlineLevel="0" collapsed="false">
      <c r="A41" s="15" t="s">
        <v>65</v>
      </c>
      <c r="B41" s="7" t="s">
        <v>46</v>
      </c>
      <c r="C41" s="7"/>
      <c r="D41" s="7"/>
      <c r="E41" s="7"/>
    </row>
    <row r="42" customFormat="false" ht="33.75" hidden="false" customHeight="true" outlineLevel="0" collapsed="false">
      <c r="A42" s="15" t="s">
        <v>66</v>
      </c>
      <c r="B42" s="7" t="s">
        <v>116</v>
      </c>
      <c r="C42" s="7"/>
      <c r="D42" s="7"/>
      <c r="E42" s="7"/>
    </row>
    <row r="43" customFormat="false" ht="33.75" hidden="false" customHeight="true" outlineLevel="0" collapsed="false">
      <c r="A43" s="15" t="s">
        <v>68</v>
      </c>
      <c r="B43" s="7" t="s">
        <v>117</v>
      </c>
      <c r="C43" s="7"/>
      <c r="D43" s="7"/>
      <c r="E43" s="7"/>
    </row>
    <row r="44" customFormat="false" ht="33.75" hidden="false" customHeight="true" outlineLevel="0" collapsed="false">
      <c r="A44" s="15" t="s">
        <v>69</v>
      </c>
      <c r="B44" s="7" t="s">
        <v>117</v>
      </c>
      <c r="C44" s="7"/>
      <c r="D44" s="7"/>
      <c r="E44" s="7"/>
    </row>
  </sheetData>
  <mergeCells count="10">
    <mergeCell ref="B4:E4"/>
    <mergeCell ref="B5:E5"/>
    <mergeCell ref="B6:E6"/>
    <mergeCell ref="A14:G14"/>
    <mergeCell ref="B39:E39"/>
    <mergeCell ref="B40:E40"/>
    <mergeCell ref="B41:E41"/>
    <mergeCell ref="B42:E42"/>
    <mergeCell ref="B43:E43"/>
    <mergeCell ref="B44:E44"/>
  </mergeCells>
  <dataValidations count="3">
    <dataValidation allowBlank="true" errorStyle="stop" operator="between" showDropDown="false" showErrorMessage="false" showInputMessage="false" sqref="C10:C12" type="list">
      <formula1>"Hoàn thành,Một phần,Thất bại"</formula1>
      <formula2>0</formula2>
    </dataValidation>
    <dataValidation allowBlank="true" errorStyle="stop" operator="between" showDropDown="false" showErrorMessage="false" showInputMessage="false" sqref="D17:D36" type="list">
      <formula1>"Điểm vướng,Lỗi thao tác,Do dự,Bực bội,Hiểu sai,Nhận xét tích cực"</formula1>
      <formula2>0</formula2>
    </dataValidation>
    <dataValidation allowBlank="true" errorStyle="stop" operator="between" showDropDown="false" showErrorMessage="false" showInputMessage="false" sqref="B17:B36" type="list">
      <formula1>"A1 - Danh sách Events,A2 - Form Add/Edit Event,A4 - Participants &amp; Reviews,Khác"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16" activeCellId="0" sqref="D16"/>
    </sheetView>
  </sheetViews>
  <sheetFormatPr defaultColWidth="8.66796875" defaultRowHeight="14.25" customHeight="false" zeroHeight="false" outlineLevelRow="0" outlineLevelCol="0"/>
  <cols>
    <col collapsed="false" customWidth="true" hidden="false" outlineLevel="0" max="1" min="1" style="1" width="5"/>
    <col collapsed="false" customWidth="true" hidden="false" outlineLevel="0" max="2" min="2" style="1" width="58"/>
    <col collapsed="false" customWidth="true" hidden="false" outlineLevel="0" max="7" min="3" style="1" width="11"/>
  </cols>
  <sheetData>
    <row r="1" customFormat="false" ht="17.25" hidden="false" customHeight="true" outlineLevel="0" collapsed="false">
      <c r="A1" s="2" t="s">
        <v>118</v>
      </c>
    </row>
    <row r="2" customFormat="false" ht="15" hidden="false" customHeight="true" outlineLevel="0" collapsed="false">
      <c r="A2" s="3" t="s">
        <v>119</v>
      </c>
    </row>
    <row r="3" customFormat="false" ht="15" hidden="false" customHeight="true" outlineLevel="0" collapsed="false">
      <c r="A3" s="3" t="s">
        <v>120</v>
      </c>
    </row>
    <row r="5" customFormat="false" ht="15" hidden="false" customHeight="true" outlineLevel="0" collapsed="false">
      <c r="A5" s="5" t="s">
        <v>121</v>
      </c>
      <c r="B5" s="5" t="s">
        <v>122</v>
      </c>
      <c r="C5" s="5" t="s">
        <v>11</v>
      </c>
      <c r="D5" s="5" t="s">
        <v>16</v>
      </c>
      <c r="E5" s="5" t="s">
        <v>20</v>
      </c>
      <c r="F5" s="5" t="s">
        <v>24</v>
      </c>
      <c r="G5" s="5" t="s">
        <v>29</v>
      </c>
    </row>
    <row r="6" customFormat="false" ht="27.75" hidden="false" customHeight="true" outlineLevel="0" collapsed="false">
      <c r="A6" s="14" t="n">
        <v>1</v>
      </c>
      <c r="B6" s="15" t="s">
        <v>123</v>
      </c>
      <c r="C6" s="16" t="n">
        <v>4</v>
      </c>
      <c r="D6" s="16" t="n">
        <v>3</v>
      </c>
      <c r="E6" s="16" t="n">
        <v>2</v>
      </c>
      <c r="F6" s="16" t="n">
        <v>3</v>
      </c>
      <c r="G6" s="16" t="n">
        <v>4</v>
      </c>
    </row>
    <row r="7" customFormat="false" ht="27.75" hidden="false" customHeight="true" outlineLevel="0" collapsed="false">
      <c r="A7" s="14" t="n">
        <v>2</v>
      </c>
      <c r="B7" s="15" t="s">
        <v>124</v>
      </c>
      <c r="C7" s="16" t="n">
        <v>1</v>
      </c>
      <c r="D7" s="16" t="n">
        <v>1</v>
      </c>
      <c r="E7" s="16" t="n">
        <v>1</v>
      </c>
      <c r="F7" s="16" t="n">
        <v>4</v>
      </c>
      <c r="G7" s="16" t="n">
        <v>1</v>
      </c>
    </row>
    <row r="8" customFormat="false" ht="27.75" hidden="false" customHeight="true" outlineLevel="0" collapsed="false">
      <c r="A8" s="14" t="n">
        <v>3</v>
      </c>
      <c r="B8" s="15" t="s">
        <v>125</v>
      </c>
      <c r="C8" s="16" t="n">
        <v>5</v>
      </c>
      <c r="D8" s="16" t="n">
        <v>4</v>
      </c>
      <c r="E8" s="16" t="n">
        <v>3</v>
      </c>
      <c r="F8" s="16" t="n">
        <v>2</v>
      </c>
      <c r="G8" s="16" t="n">
        <v>5</v>
      </c>
    </row>
    <row r="9" customFormat="false" ht="27.75" hidden="false" customHeight="true" outlineLevel="0" collapsed="false">
      <c r="A9" s="14" t="n">
        <v>4</v>
      </c>
      <c r="B9" s="15" t="s">
        <v>126</v>
      </c>
      <c r="C9" s="16" t="n">
        <v>1</v>
      </c>
      <c r="D9" s="16" t="n">
        <v>1</v>
      </c>
      <c r="E9" s="16" t="n">
        <v>4</v>
      </c>
      <c r="F9" s="16" t="n">
        <v>3</v>
      </c>
      <c r="G9" s="16" t="n">
        <v>3</v>
      </c>
    </row>
    <row r="10" customFormat="false" ht="27.75" hidden="false" customHeight="true" outlineLevel="0" collapsed="false">
      <c r="A10" s="14" t="n">
        <v>5</v>
      </c>
      <c r="B10" s="15" t="s">
        <v>127</v>
      </c>
      <c r="C10" s="16" t="n">
        <v>5</v>
      </c>
      <c r="D10" s="16" t="n">
        <v>4</v>
      </c>
      <c r="E10" s="16" t="n">
        <v>3</v>
      </c>
      <c r="F10" s="16" t="n">
        <v>3</v>
      </c>
      <c r="G10" s="16" t="n">
        <v>4</v>
      </c>
    </row>
    <row r="11" customFormat="false" ht="27.75" hidden="false" customHeight="true" outlineLevel="0" collapsed="false">
      <c r="A11" s="14" t="n">
        <v>6</v>
      </c>
      <c r="B11" s="15" t="s">
        <v>128</v>
      </c>
      <c r="C11" s="16" t="n">
        <v>1</v>
      </c>
      <c r="D11" s="16" t="n">
        <v>1</v>
      </c>
      <c r="E11" s="16" t="n">
        <v>2</v>
      </c>
      <c r="F11" s="16" t="n">
        <v>3</v>
      </c>
      <c r="G11" s="16" t="n">
        <v>1</v>
      </c>
    </row>
    <row r="12" customFormat="false" ht="27.75" hidden="false" customHeight="true" outlineLevel="0" collapsed="false">
      <c r="A12" s="14" t="n">
        <v>7</v>
      </c>
      <c r="B12" s="15" t="s">
        <v>129</v>
      </c>
      <c r="C12" s="16" t="n">
        <v>5</v>
      </c>
      <c r="D12" s="16" t="n">
        <v>5</v>
      </c>
      <c r="E12" s="16" t="n">
        <v>3</v>
      </c>
      <c r="F12" s="16" t="n">
        <v>3</v>
      </c>
      <c r="G12" s="16" t="n">
        <v>5</v>
      </c>
    </row>
    <row r="13" customFormat="false" ht="27.75" hidden="false" customHeight="true" outlineLevel="0" collapsed="false">
      <c r="A13" s="14" t="n">
        <v>8</v>
      </c>
      <c r="B13" s="15" t="s">
        <v>130</v>
      </c>
      <c r="C13" s="16" t="n">
        <v>1</v>
      </c>
      <c r="D13" s="16" t="n">
        <v>1</v>
      </c>
      <c r="E13" s="16" t="n">
        <v>1</v>
      </c>
      <c r="F13" s="16" t="n">
        <v>3</v>
      </c>
      <c r="G13" s="16" t="n">
        <v>1</v>
      </c>
    </row>
    <row r="14" customFormat="false" ht="27.75" hidden="false" customHeight="true" outlineLevel="0" collapsed="false">
      <c r="A14" s="14" t="n">
        <v>9</v>
      </c>
      <c r="B14" s="15" t="s">
        <v>131</v>
      </c>
      <c r="C14" s="16" t="n">
        <v>5</v>
      </c>
      <c r="D14" s="16" t="n">
        <v>5</v>
      </c>
      <c r="E14" s="16" t="n">
        <v>2</v>
      </c>
      <c r="F14" s="16" t="n">
        <v>2</v>
      </c>
      <c r="G14" s="16" t="n">
        <v>4</v>
      </c>
    </row>
    <row r="15" customFormat="false" ht="27.75" hidden="false" customHeight="true" outlineLevel="0" collapsed="false">
      <c r="A15" s="14" t="n">
        <v>10</v>
      </c>
      <c r="B15" s="15" t="s">
        <v>132</v>
      </c>
      <c r="C15" s="16" t="n">
        <v>1</v>
      </c>
      <c r="D15" s="16" t="n">
        <v>1</v>
      </c>
      <c r="E15" s="16" t="n">
        <v>2</v>
      </c>
      <c r="F15" s="16" t="n">
        <v>3</v>
      </c>
      <c r="G15" s="16" t="n">
        <v>3</v>
      </c>
    </row>
    <row r="17" customFormat="false" ht="15" hidden="false" customHeight="true" outlineLevel="0" collapsed="false">
      <c r="B17" s="19" t="s">
        <v>133</v>
      </c>
      <c r="C17" s="21" t="n">
        <f aca="false">IF(COUNT(C6:C15)&lt;10,"",IF(C6="","",IF(MOD(1,2)=1,C6-1,5-C6))+IF(C7="","",IF(MOD(2,2)=1,C7-1,5-C7))+IF(C8="","",IF(MOD(3,2)=1,C8-1,5-C8))+IF(C9="","",IF(MOD(4,2)=1,C9-1,5-C9))+IF(C10="","",IF(MOD(5,2)=1,C10-1,5-C10))+IF(C11="","",IF(MOD(6,2)=1,C11-1,5-C11))+IF(C12="","",IF(MOD(7,2)=1,C12-1,5-C12))+IF(C13="","",IF(MOD(8,2)=1,C13-1,5-C13))+IF(C14="","",IF(MOD(9,2)=1,C14-1,5-C14))+IF(C15="","",IF(MOD(10,2)=1,C15-1,5-C15)))</f>
        <v>39</v>
      </c>
      <c r="D17" s="21" t="n">
        <f aca="false">IF(COUNT(D6:D15)&lt;10,"",IF(D6="","",IF(MOD(1,2)=1,D6-1,5-D6))+IF(D7="","",IF(MOD(2,2)=1,D7-1,5-D7))+IF(D8="","",IF(MOD(3,2)=1,D8-1,5-D8))+IF(D9="","",IF(MOD(4,2)=1,D9-1,5-D9))+IF(D10="","",IF(MOD(5,2)=1,D10-1,5-D10))+IF(D11="","",IF(MOD(6,2)=1,D11-1,5-D11))+IF(D12="","",IF(MOD(7,2)=1,D12-1,5-D12))+IF(D13="","",IF(MOD(8,2)=1,D13-1,5-D13))+IF(D14="","",IF(MOD(9,2)=1,D14-1,5-D14))+IF(D15="","",IF(MOD(10,2)=1,D15-1,5-D15)))</f>
        <v>36</v>
      </c>
      <c r="E17" s="21" t="n">
        <f aca="false">IF(COUNT(E6:E15)&lt;10,"",IF(E6="","",IF(MOD(1,2)=1,E6-1,5-E6))+IF(E7="","",IF(MOD(2,2)=1,E7-1,5-E7))+IF(E8="","",IF(MOD(3,2)=1,E8-1,5-E8))+IF(E9="","",IF(MOD(4,2)=1,E9-1,5-E9))+IF(E10="","",IF(MOD(5,2)=1,E10-1,5-E10))+IF(E11="","",IF(MOD(6,2)=1,E11-1,5-E11))+IF(E12="","",IF(MOD(7,2)=1,E12-1,5-E12))+IF(E13="","",IF(MOD(8,2)=1,E13-1,5-E13))+IF(E14="","",IF(MOD(9,2)=1,E14-1,5-E14))+IF(E15="","",IF(MOD(10,2)=1,E15-1,5-E15)))</f>
        <v>23</v>
      </c>
      <c r="F17" s="21" t="n">
        <f aca="false">IF(COUNT(F6:F15)&lt;10,"",IF(F6="","",IF(MOD(1,2)=1,F6-1,5-F6))+IF(F7="","",IF(MOD(2,2)=1,F7-1,5-F7))+IF(F8="","",IF(MOD(3,2)=1,F8-1,5-F8))+IF(F9="","",IF(MOD(4,2)=1,F9-1,5-F9))+IF(F10="","",IF(MOD(5,2)=1,F10-1,5-F10))+IF(F11="","",IF(MOD(6,2)=1,F11-1,5-F11))+IF(F12="","",IF(MOD(7,2)=1,F12-1,5-F12))+IF(F13="","",IF(MOD(8,2)=1,F13-1,5-F13))+IF(F14="","",IF(MOD(9,2)=1,F14-1,5-F14))+IF(F15="","",IF(MOD(10,2)=1,F15-1,5-F15)))</f>
        <v>17</v>
      </c>
      <c r="G17" s="21" t="n">
        <f aca="false">IF(COUNT(G6:G15)&lt;10,"",IF(G6="","",IF(MOD(1,2)=1,G6-1,5-G6))+IF(G7="","",IF(MOD(2,2)=1,G7-1,5-G7))+IF(G8="","",IF(MOD(3,2)=1,G8-1,5-G8))+IF(G9="","",IF(MOD(4,2)=1,G9-1,5-G9))+IF(G10="","",IF(MOD(5,2)=1,G10-1,5-G10))+IF(G11="","",IF(MOD(6,2)=1,G11-1,5-G11))+IF(G12="","",IF(MOD(7,2)=1,G12-1,5-G12))+IF(G13="","",IF(MOD(8,2)=1,G13-1,5-G13))+IF(G14="","",IF(MOD(9,2)=1,G14-1,5-G14))+IF(G15="","",IF(MOD(10,2)=1,G15-1,5-G15)))</f>
        <v>33</v>
      </c>
    </row>
    <row r="18" customFormat="false" ht="15" hidden="false" customHeight="true" outlineLevel="0" collapsed="false">
      <c r="B18" s="22" t="s">
        <v>134</v>
      </c>
      <c r="C18" s="23" t="n">
        <f aca="false">IF(C17="","",C17*2.5)</f>
        <v>97.5</v>
      </c>
      <c r="D18" s="23" t="n">
        <f aca="false">IF(D17="","",D17*2.5)</f>
        <v>90</v>
      </c>
      <c r="E18" s="23" t="n">
        <f aca="false">IF(E17="","",E17*2.5)</f>
        <v>57.5</v>
      </c>
      <c r="F18" s="23" t="n">
        <f aca="false">IF(F17="","",F17*2.5)</f>
        <v>42.5</v>
      </c>
      <c r="G18" s="23" t="n">
        <f aca="false">IF(G17="","",G17*2.5)</f>
        <v>82.5</v>
      </c>
    </row>
    <row r="20" customFormat="false" ht="15" hidden="false" customHeight="true" outlineLevel="0" collapsed="false">
      <c r="B20" s="24" t="s">
        <v>135</v>
      </c>
      <c r="C20" s="25" t="n">
        <f aca="false">IF(COUNT(C18:G18)=0,"",AVERAGE(C18:G18))</f>
        <v>74</v>
      </c>
    </row>
    <row r="21" customFormat="false" ht="15" hidden="false" customHeight="true" outlineLevel="0" collapsed="false">
      <c r="B21" s="24" t="s">
        <v>136</v>
      </c>
      <c r="C21" s="25" t="n">
        <f aca="false">IF(COUNT(C18:G18)&lt;2,"",STDEV(C18:G18))</f>
        <v>23.1570723538188</v>
      </c>
    </row>
    <row r="22" customFormat="false" ht="15" hidden="false" customHeight="true" outlineLevel="0" collapsed="false">
      <c r="B22" s="24" t="s">
        <v>137</v>
      </c>
      <c r="C22" s="21" t="str">
        <f aca="false">IF(COUNT(C18:G18)=0,"",MIN(C18:G18)&amp;" / "&amp;MAX(C18:G18))</f>
        <v>42.5 / 97.5</v>
      </c>
    </row>
    <row r="23" customFormat="false" ht="15" hidden="false" customHeight="true" outlineLevel="0" collapsed="false">
      <c r="B23" s="24" t="s">
        <v>138</v>
      </c>
      <c r="C23" s="21" t="str">
        <f aca="false">IF(C20="","",IF(C20&gt;=80.3,"Xuất sắc (A)",IF(C20&gt;=68,"Trên trung bình (B-C)",IF(C20&gt;=51,"Dưới trung bình (D)","Kém (F)"))))</f>
        <v>Trên trung bình (B-C)</v>
      </c>
    </row>
    <row r="25" customFormat="false" ht="15" hidden="false" customHeight="true" outlineLevel="0" collapsed="false">
      <c r="B25" s="10" t="s">
        <v>139</v>
      </c>
    </row>
  </sheetData>
  <dataValidations count="1">
    <dataValidation allowBlank="true" error="Chỉ nhận số nguyên từ 1 đến 5" errorStyle="stop" errorTitle="Sai giá trị" operator="between" showDropDown="false" showErrorMessage="false" showInputMessage="false" sqref="C6:G15"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1" width="26"/>
    <col collapsed="false" customWidth="true" hidden="false" outlineLevel="0" max="6" min="2" style="1" width="13"/>
    <col collapsed="false" customWidth="true" hidden="false" outlineLevel="0" max="9" min="7" style="1" width="14"/>
    <col collapsed="false" customWidth="true" hidden="false" outlineLevel="0" max="10" min="10" style="1" width="16"/>
  </cols>
  <sheetData>
    <row r="1" customFormat="false" ht="17.25" hidden="false" customHeight="true" outlineLevel="0" collapsed="false">
      <c r="A1" s="2" t="s">
        <v>140</v>
      </c>
    </row>
    <row r="2" customFormat="false" ht="15" hidden="false" customHeight="true" outlineLevel="0" collapsed="false">
      <c r="A2" s="3" t="s">
        <v>141</v>
      </c>
    </row>
    <row r="4" customFormat="false" ht="15" hidden="false" customHeight="true" outlineLevel="0" collapsed="false">
      <c r="A4" s="5" t="s">
        <v>39</v>
      </c>
      <c r="B4" s="5" t="s">
        <v>11</v>
      </c>
      <c r="C4" s="5" t="s">
        <v>16</v>
      </c>
      <c r="D4" s="5" t="s">
        <v>20</v>
      </c>
      <c r="E4" s="5" t="s">
        <v>24</v>
      </c>
      <c r="F4" s="5" t="s">
        <v>29</v>
      </c>
      <c r="G4" s="5" t="s">
        <v>48</v>
      </c>
      <c r="H4" s="5" t="s">
        <v>142</v>
      </c>
      <c r="I4" s="5" t="s">
        <v>143</v>
      </c>
      <c r="J4" s="5" t="s">
        <v>144</v>
      </c>
    </row>
    <row r="5" customFormat="false" ht="15" hidden="false" customHeight="true" outlineLevel="0" collapsed="false">
      <c r="A5" s="26" t="s">
        <v>46</v>
      </c>
      <c r="B5" s="26" t="str">
        <f aca="false">IF('Phiên P1'!C10="","",'Phiên P1'!C10)</f>
        <v>Hoàn thành</v>
      </c>
      <c r="C5" s="26" t="str">
        <f aca="false">IF('Phiên P2'!C10="","",'Phiên P2'!C10)</f>
        <v>Hoàn thành</v>
      </c>
      <c r="D5" s="26" t="str">
        <f aca="false">IF('Phiên P3'!C10="","",'Phiên P3'!C10)</f>
        <v>Hoàn thành</v>
      </c>
      <c r="E5" s="26" t="str">
        <f aca="false">IF('Phiên P4'!C10="","",'Phiên P4'!C10)</f>
        <v>Hoàn thành</v>
      </c>
      <c r="F5" s="26" t="str">
        <f aca="false">IF('Phiên P5'!C10="","",'Phiên P5'!C10)</f>
        <v>Hoàn thành</v>
      </c>
      <c r="G5" s="26" t="n">
        <f aca="false">COUNTIF(B5:F5,"Hoàn thành")</f>
        <v>5</v>
      </c>
      <c r="H5" s="26" t="n">
        <f aca="false">COUNTIF(B5:F5,"Một phần")</f>
        <v>0</v>
      </c>
      <c r="I5" s="26" t="n">
        <f aca="false">COUNTIF(B5:F5,"Thất bại")</f>
        <v>0</v>
      </c>
      <c r="J5" s="27" t="n">
        <f aca="false">IF(SUM(G5:I5)&lt;5,"",G5/5)</f>
        <v>1</v>
      </c>
    </row>
    <row r="6" customFormat="false" ht="15" hidden="false" customHeight="true" outlineLevel="0" collapsed="false">
      <c r="A6" s="26" t="s">
        <v>49</v>
      </c>
      <c r="B6" s="26" t="str">
        <f aca="false">IF('Phiên P1'!C11="","",'Phiên P1'!C11)</f>
        <v>Hoàn thành</v>
      </c>
      <c r="C6" s="26" t="str">
        <f aca="false">IF('Phiên P2'!C11="","",'Phiên P2'!C11)</f>
        <v>Hoàn thành</v>
      </c>
      <c r="D6" s="26" t="str">
        <f aca="false">IF('Phiên P3'!C11="","",'Phiên P3'!C11)</f>
        <v>Hoàn thành</v>
      </c>
      <c r="E6" s="26" t="str">
        <f aca="false">IF('Phiên P4'!C11="","",'Phiên P4'!C11)</f>
        <v>Hoàn thành</v>
      </c>
      <c r="F6" s="26" t="str">
        <f aca="false">IF('Phiên P5'!C11="","",'Phiên P5'!C11)</f>
        <v>Hoàn thành</v>
      </c>
      <c r="G6" s="26" t="n">
        <f aca="false">COUNTIF(B6:F6,"Hoàn thành")</f>
        <v>5</v>
      </c>
      <c r="H6" s="26" t="n">
        <f aca="false">COUNTIF(B6:F6,"Một phần")</f>
        <v>0</v>
      </c>
      <c r="I6" s="26" t="n">
        <f aca="false">COUNTIF(B6:F6,"Thất bại")</f>
        <v>0</v>
      </c>
      <c r="J6" s="27" t="n">
        <f aca="false">IF(SUM(G6:I6)&lt;5,"",G6/5)</f>
        <v>1</v>
      </c>
    </row>
    <row r="7" customFormat="false" ht="15" hidden="false" customHeight="true" outlineLevel="0" collapsed="false">
      <c r="A7" s="26" t="s">
        <v>51</v>
      </c>
      <c r="B7" s="26" t="str">
        <f aca="false">IF('Phiên P1'!C12="","",'Phiên P1'!C12)</f>
        <v>Hoàn thành</v>
      </c>
      <c r="C7" s="26" t="str">
        <f aca="false">IF('Phiên P2'!C12="","",'Phiên P2'!C12)</f>
        <v>Hoàn thành</v>
      </c>
      <c r="D7" s="26" t="str">
        <f aca="false">IF('Phiên P3'!C12="","",'Phiên P3'!C12)</f>
        <v>Hoàn thành</v>
      </c>
      <c r="E7" s="26" t="str">
        <f aca="false">IF('Phiên P4'!C12="","",'Phiên P4'!C12)</f>
        <v>Hoàn thành</v>
      </c>
      <c r="F7" s="26" t="str">
        <f aca="false">IF('Phiên P5'!C12="","",'Phiên P5'!C12)</f>
        <v>Hoàn thành</v>
      </c>
      <c r="G7" s="26" t="n">
        <f aca="false">COUNTIF(B7:F7,"Hoàn thành")</f>
        <v>5</v>
      </c>
      <c r="H7" s="26" t="n">
        <f aca="false">COUNTIF(B7:F7,"Một phần")</f>
        <v>0</v>
      </c>
      <c r="I7" s="26" t="n">
        <f aca="false">COUNTIF(B7:F7,"Thất bại")</f>
        <v>0</v>
      </c>
      <c r="J7" s="27" t="n">
        <f aca="false">IF(SUM(G7:I7)&lt;5,"",G7/5)</f>
        <v>1</v>
      </c>
    </row>
    <row r="8" customFormat="false" ht="15" hidden="false" customHeight="true" outlineLevel="0" collapsed="false">
      <c r="A8" s="10" t="s">
        <v>145</v>
      </c>
    </row>
    <row r="9" customFormat="false" ht="15" hidden="false" customHeight="true" outlineLevel="0" collapsed="false">
      <c r="A9" s="13" t="s">
        <v>146</v>
      </c>
    </row>
    <row r="10" customFormat="false" ht="15" hidden="false" customHeight="true" outlineLevel="0" collapsed="false">
      <c r="A10" s="5" t="s">
        <v>39</v>
      </c>
      <c r="B10" s="5" t="s">
        <v>11</v>
      </c>
      <c r="C10" s="5" t="s">
        <v>16</v>
      </c>
      <c r="D10" s="5" t="s">
        <v>20</v>
      </c>
      <c r="E10" s="5" t="s">
        <v>24</v>
      </c>
      <c r="F10" s="5" t="s">
        <v>29</v>
      </c>
      <c r="G10" s="5" t="s">
        <v>147</v>
      </c>
      <c r="H10" s="5" t="s">
        <v>148</v>
      </c>
      <c r="I10" s="5" t="s">
        <v>149</v>
      </c>
    </row>
    <row r="11" customFormat="false" ht="15" hidden="false" customHeight="true" outlineLevel="0" collapsed="false">
      <c r="A11" s="26" t="s">
        <v>46</v>
      </c>
      <c r="B11" s="26" t="n">
        <f aca="false">IF('Phiên P1'!D10="","",'Phiên P1'!D10)</f>
        <v>5</v>
      </c>
      <c r="C11" s="26" t="n">
        <f aca="false">IF('Phiên P2'!D10="","",'Phiên P2'!D10)</f>
        <v>45</v>
      </c>
      <c r="D11" s="26" t="n">
        <f aca="false">IF('Phiên P3'!D10="","",'Phiên P3'!D10)</f>
        <v>19.41</v>
      </c>
      <c r="E11" s="26" t="n">
        <f aca="false">IF('Phiên P4'!D10="","",'Phiên P4'!D10)</f>
        <v>70</v>
      </c>
      <c r="F11" s="26" t="n">
        <f aca="false">IF('Phiên P5'!D10="","",'Phiên P5'!D10)</f>
        <v>120</v>
      </c>
      <c r="G11" s="28" t="n">
        <f aca="false">IF(COUNT(B11:F11)=0,"",AVERAGE(B11:F11))</f>
        <v>51.882</v>
      </c>
      <c r="H11" s="26" t="n">
        <f aca="false">IF(COUNT(B11:F11)=0,"",MIN(B11:F11))</f>
        <v>5</v>
      </c>
      <c r="I11" s="26" t="n">
        <f aca="false">IF(COUNT(B11:F11)=0,"",MAX(B11:F11))</f>
        <v>120</v>
      </c>
    </row>
    <row r="12" customFormat="false" ht="15" hidden="false" customHeight="true" outlineLevel="0" collapsed="false">
      <c r="A12" s="26" t="s">
        <v>49</v>
      </c>
      <c r="B12" s="26" t="n">
        <f aca="false">IF('Phiên P1'!D11="","",'Phiên P1'!D11)</f>
        <v>400</v>
      </c>
      <c r="C12" s="26" t="n">
        <f aca="false">IF('Phiên P2'!D11="","",'Phiên P2'!D11)</f>
        <v>619</v>
      </c>
      <c r="D12" s="26" t="n">
        <f aca="false">IF('Phiên P3'!D11="","",'Phiên P3'!D11)</f>
        <v>587</v>
      </c>
      <c r="E12" s="26" t="n">
        <f aca="false">IF('Phiên P4'!D11="","",'Phiên P4'!D11)</f>
        <v>300</v>
      </c>
      <c r="F12" s="26" t="n">
        <f aca="false">IF('Phiên P5'!D11="","",'Phiên P5'!D11)</f>
        <v>300</v>
      </c>
      <c r="G12" s="28" t="n">
        <f aca="false">IF(COUNT(B12:F12)=0,"",AVERAGE(B12:F12))</f>
        <v>441.2</v>
      </c>
      <c r="H12" s="26" t="n">
        <f aca="false">IF(COUNT(B12:F12)=0,"",MIN(B12:F12))</f>
        <v>300</v>
      </c>
      <c r="I12" s="26" t="n">
        <f aca="false">IF(COUNT(B12:F12)=0,"",MAX(B12:F12))</f>
        <v>619</v>
      </c>
    </row>
    <row r="13" customFormat="false" ht="15" hidden="false" customHeight="true" outlineLevel="0" collapsed="false">
      <c r="A13" s="26" t="s">
        <v>51</v>
      </c>
      <c r="B13" s="26" t="n">
        <f aca="false">IF('Phiên P1'!D12="","",'Phiên P1'!D12)</f>
        <v>10</v>
      </c>
      <c r="C13" s="26" t="n">
        <f aca="false">IF('Phiên P2'!D12="","",'Phiên P2'!D12)</f>
        <v>65</v>
      </c>
      <c r="D13" s="26" t="n">
        <f aca="false">IF('Phiên P3'!D12="","",'Phiên P3'!D12)</f>
        <v>13.01</v>
      </c>
      <c r="E13" s="26" t="n">
        <f aca="false">IF('Phiên P4'!D12="","",'Phiên P4'!D12)</f>
        <v>15</v>
      </c>
      <c r="F13" s="26" t="n">
        <f aca="false">IF('Phiên P5'!D12="","",'Phiên P5'!D12)</f>
        <v>120</v>
      </c>
      <c r="G13" s="28" t="n">
        <f aca="false">IF(COUNT(B13:F13)=0,"",AVERAGE(B13:F13))</f>
        <v>44.602</v>
      </c>
      <c r="H13" s="26" t="n">
        <f aca="false">IF(COUNT(B13:F13)=0,"",MIN(B13:F13))</f>
        <v>10</v>
      </c>
      <c r="I13" s="26" t="n">
        <f aca="false">IF(COUNT(B13:F13)=0,"",MAX(B13:F13))</f>
        <v>120</v>
      </c>
    </row>
    <row r="15" customFormat="false" ht="15" hidden="false" customHeight="true" outlineLevel="0" collapsed="false">
      <c r="A15" s="13" t="s">
        <v>150</v>
      </c>
    </row>
    <row r="16" customFormat="false" ht="23.25" hidden="false" customHeight="true" outlineLevel="0" collapsed="false">
      <c r="A16" s="5" t="s">
        <v>151</v>
      </c>
      <c r="B16" s="5" t="s">
        <v>11</v>
      </c>
      <c r="C16" s="5" t="s">
        <v>16</v>
      </c>
      <c r="D16" s="5" t="s">
        <v>20</v>
      </c>
      <c r="E16" s="5" t="s">
        <v>24</v>
      </c>
      <c r="F16" s="5" t="s">
        <v>29</v>
      </c>
      <c r="G16" s="5" t="s">
        <v>152</v>
      </c>
      <c r="H16" s="5" t="s">
        <v>153</v>
      </c>
    </row>
    <row r="17" customFormat="false" ht="15" hidden="false" customHeight="true" outlineLevel="0" collapsed="false">
      <c r="A17" s="26" t="s">
        <v>43</v>
      </c>
      <c r="B17" s="26" t="str">
        <f aca="false">IF('Phiên P1'!E13=0,"",'Phiên P1'!E13)</f>
        <v/>
      </c>
      <c r="C17" s="26" t="str">
        <f aca="false">IF('Phiên P2'!E13=0,"",'Phiên P2'!E13)</f>
        <v/>
      </c>
      <c r="D17" s="26" t="str">
        <f aca="false">IF('Phiên P3'!E13=0,"",'Phiên P3'!E13)</f>
        <v/>
      </c>
      <c r="E17" s="26" t="n">
        <f aca="false">IF('Phiên P4'!E13=0,"",'Phiên P4'!E13)</f>
        <v>1</v>
      </c>
      <c r="F17" s="26" t="str">
        <f aca="false">IF('Phiên P5'!E13=0,"",'Phiên P5'!E13)</f>
        <v/>
      </c>
      <c r="G17" s="26" t="n">
        <f aca="false">IF(COUNT(B17:F17)=0,"",SUM(B17:F17))</f>
        <v>1</v>
      </c>
      <c r="H17" s="29" t="n">
        <f aca="false">IF(COUNT(B17:F17)=0,"",AVERAGE(B17:F17))</f>
        <v>1</v>
      </c>
    </row>
    <row r="18" customFormat="false" ht="15" hidden="false" customHeight="true" outlineLevel="0" collapsed="false">
      <c r="A18" s="26" t="s">
        <v>44</v>
      </c>
      <c r="B18" s="26" t="str">
        <f aca="false">IF('Phiên P1'!F13=0,"",'Phiên P1'!F13)</f>
        <v/>
      </c>
      <c r="C18" s="26" t="str">
        <f aca="false">IF('Phiên P2'!F13=0,"",'Phiên P2'!F13)</f>
        <v/>
      </c>
      <c r="D18" s="26" t="n">
        <f aca="false">IF('Phiên P3'!F13=0,"",'Phiên P3'!F13)</f>
        <v>2</v>
      </c>
      <c r="E18" s="26" t="n">
        <f aca="false">IF('Phiên P4'!F13=0,"",'Phiên P4'!F13)</f>
        <v>2</v>
      </c>
      <c r="F18" s="26" t="n">
        <f aca="false">IF('Phiên P5'!F13=0,"",'Phiên P5'!F13)</f>
        <v>1</v>
      </c>
      <c r="G18" s="26" t="n">
        <f aca="false">IF(COUNT(B18:F18)=0,"",SUM(B18:F18))</f>
        <v>5</v>
      </c>
      <c r="H18" s="29" t="n">
        <f aca="false">IF(COUNT(B18:F18)=0,"",AVERAGE(B18:F18))</f>
        <v>1.66666666666667</v>
      </c>
    </row>
    <row r="19" customFormat="false" ht="15" hidden="false" customHeight="true" outlineLevel="0" collapsed="false">
      <c r="A19" s="26" t="s">
        <v>45</v>
      </c>
      <c r="B19" s="26" t="str">
        <f aca="false">IF('Phiên P1'!G13=0,"",'Phiên P1'!G13)</f>
        <v/>
      </c>
      <c r="C19" s="26" t="str">
        <f aca="false">IF('Phiên P2'!G13=0,"",'Phiên P2'!G13)</f>
        <v/>
      </c>
      <c r="D19" s="26" t="str">
        <f aca="false">IF('Phiên P3'!G13=0,"",'Phiên P3'!G13)</f>
        <v/>
      </c>
      <c r="E19" s="26" t="str">
        <f aca="false">IF('Phiên P4'!G13=0,"",'Phiên P4'!G13)</f>
        <v/>
      </c>
      <c r="F19" s="26" t="str">
        <f aca="false">IF('Phiên P5'!G13=0,"",'Phiên P5'!G13)</f>
        <v/>
      </c>
      <c r="G19" s="26" t="str">
        <f aca="false">IF(COUNT(B19:F19)=0,"",SUM(B19:F19))</f>
        <v/>
      </c>
      <c r="H19" s="29" t="str">
        <f aca="false">IF(COUNT(B19:F19)=0,"",AVERAGE(B19:F19))</f>
        <v/>
      </c>
    </row>
    <row r="21" customFormat="false" ht="15" hidden="false" customHeight="true" outlineLevel="0" collapsed="false">
      <c r="A21" s="19" t="s">
        <v>154</v>
      </c>
      <c r="B21" s="30" t="n">
        <f aca="false">IF(SUS!C18="","",SUS!C18)</f>
        <v>97.5</v>
      </c>
      <c r="C21" s="30" t="n">
        <f aca="false">IF(SUS!D18="","",SUS!D18)</f>
        <v>90</v>
      </c>
      <c r="D21" s="30" t="n">
        <f aca="false">IF(SUS!E18="","",SUS!E18)</f>
        <v>57.5</v>
      </c>
      <c r="E21" s="30" t="n">
        <f aca="false">IF(SUS!F18="","",SUS!F18)</f>
        <v>42.5</v>
      </c>
      <c r="F21" s="30" t="n">
        <f aca="false">IF(SUS!G18="","",SUS!G18)</f>
        <v>82.5</v>
      </c>
      <c r="G21" s="30" t="n">
        <f aca="false">IF(COUNT(B21:F21)=0,"",AVERAGE(B21:F21))</f>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4.25" customHeight="false" zeroHeight="false" outlineLevelRow="0" outlineLevelCol="0"/>
  <cols>
    <col collapsed="false" customWidth="true" hidden="false" outlineLevel="0" max="1" min="1" style="1" width="10"/>
    <col collapsed="false" customWidth="true" hidden="false" outlineLevel="0" max="2" min="2" style="1" width="50"/>
    <col collapsed="false" customWidth="true" hidden="false" outlineLevel="0" max="3" min="3" style="1" width="24"/>
    <col collapsed="false" customWidth="true" hidden="false" outlineLevel="0" max="4" min="4" style="1" width="13"/>
    <col collapsed="false" customWidth="true" hidden="false" outlineLevel="0" max="5" min="5" style="1" width="26"/>
    <col collapsed="false" customWidth="true" hidden="false" outlineLevel="0" max="6" min="6" style="1" width="22"/>
    <col collapsed="false" customWidth="true" hidden="false" outlineLevel="0" max="7" min="7" style="1" width="26"/>
    <col collapsed="false" customWidth="true" hidden="false" outlineLevel="0" max="8" min="8" style="1" width="46"/>
    <col collapsed="false" customWidth="true" hidden="false" outlineLevel="0" max="9" min="9" style="1" width="22"/>
    <col collapsed="false" customWidth="true" hidden="false" outlineLevel="0" max="10" min="10" style="1" width="13"/>
  </cols>
  <sheetData>
    <row r="1" customFormat="false" ht="17.25" hidden="false" customHeight="true" outlineLevel="0" collapsed="false">
      <c r="A1" s="2" t="s">
        <v>155</v>
      </c>
    </row>
    <row r="2" customFormat="false" ht="15" hidden="false" customHeight="true" outlineLevel="0" collapsed="false">
      <c r="A2" s="3" t="s">
        <v>156</v>
      </c>
    </row>
    <row r="4" customFormat="false" ht="23.25" hidden="false" customHeight="true" outlineLevel="0" collapsed="false">
      <c r="A4" s="5" t="s">
        <v>157</v>
      </c>
      <c r="B4" s="5" t="s">
        <v>158</v>
      </c>
      <c r="C4" s="5" t="s">
        <v>57</v>
      </c>
      <c r="D4" s="5" t="s">
        <v>159</v>
      </c>
      <c r="E4" s="5" t="s">
        <v>59</v>
      </c>
      <c r="F4" s="5" t="s">
        <v>160</v>
      </c>
      <c r="G4" s="5" t="s">
        <v>161</v>
      </c>
      <c r="H4" s="5" t="s">
        <v>162</v>
      </c>
      <c r="I4" s="5" t="s">
        <v>163</v>
      </c>
      <c r="J4" s="5" t="s">
        <v>164</v>
      </c>
    </row>
    <row r="5" customFormat="false" ht="99.75" hidden="false" customHeight="true" outlineLevel="0" collapsed="false">
      <c r="A5" s="15" t="str">
        <f aca="false">IF(B5="","","UX-"&amp;TEXT(ROW()-4,"000"))</f>
        <v>UX-001</v>
      </c>
      <c r="B5" s="7" t="s">
        <v>165</v>
      </c>
      <c r="C5" s="7" t="s">
        <v>166</v>
      </c>
      <c r="D5" s="7" t="s">
        <v>167</v>
      </c>
      <c r="E5" s="7" t="s">
        <v>168</v>
      </c>
      <c r="F5" s="7" t="s">
        <v>169</v>
      </c>
      <c r="G5" s="7" t="s">
        <v>170</v>
      </c>
      <c r="H5" s="7" t="s">
        <v>171</v>
      </c>
      <c r="I5" s="7"/>
      <c r="J5" s="7" t="s">
        <v>172</v>
      </c>
    </row>
    <row r="6" customFormat="false" ht="99.75" hidden="false" customHeight="true" outlineLevel="0" collapsed="false">
      <c r="A6" s="15" t="str">
        <f aca="false">IF(B6="","","UX-"&amp;TEXT(ROW()-4,"000"))</f>
        <v>UX-002</v>
      </c>
      <c r="B6" s="7" t="s">
        <v>173</v>
      </c>
      <c r="C6" s="7" t="s">
        <v>81</v>
      </c>
      <c r="D6" s="7" t="s">
        <v>174</v>
      </c>
      <c r="E6" s="7" t="s">
        <v>175</v>
      </c>
      <c r="F6" s="7" t="s">
        <v>169</v>
      </c>
      <c r="G6" s="7" t="s">
        <v>176</v>
      </c>
      <c r="H6" s="7" t="s">
        <v>177</v>
      </c>
      <c r="I6" s="7"/>
      <c r="J6" s="7" t="s">
        <v>172</v>
      </c>
    </row>
    <row r="7" customFormat="false" ht="99.75" hidden="false" customHeight="true" outlineLevel="0" collapsed="false">
      <c r="A7" s="15" t="str">
        <f aca="false">IF(B7="","","UX-"&amp;TEXT(ROW()-4,"000"))</f>
        <v>UX-003</v>
      </c>
      <c r="B7" s="7" t="s">
        <v>178</v>
      </c>
      <c r="C7" s="7" t="s">
        <v>81</v>
      </c>
      <c r="D7" s="7" t="s">
        <v>174</v>
      </c>
      <c r="E7" s="7" t="s">
        <v>175</v>
      </c>
      <c r="F7" s="7" t="s">
        <v>169</v>
      </c>
      <c r="G7" s="7" t="s">
        <v>179</v>
      </c>
      <c r="H7" s="7" t="s">
        <v>180</v>
      </c>
      <c r="I7" s="7"/>
      <c r="J7" s="7" t="s">
        <v>172</v>
      </c>
    </row>
    <row r="8" customFormat="false" ht="99.75" hidden="false" customHeight="true" outlineLevel="0" collapsed="false">
      <c r="A8" s="15" t="str">
        <f aca="false">IF(B8="","","UX-"&amp;TEXT(ROW()-4,"000"))</f>
        <v>UX-004</v>
      </c>
      <c r="B8" s="7" t="s">
        <v>181</v>
      </c>
      <c r="C8" s="7" t="s">
        <v>81</v>
      </c>
      <c r="D8" s="7" t="s">
        <v>182</v>
      </c>
      <c r="E8" s="7" t="s">
        <v>175</v>
      </c>
      <c r="F8" s="7" t="s">
        <v>169</v>
      </c>
      <c r="G8" s="7" t="s">
        <v>183</v>
      </c>
      <c r="H8" s="7" t="s">
        <v>184</v>
      </c>
      <c r="I8" s="7"/>
      <c r="J8" s="7" t="s">
        <v>172</v>
      </c>
    </row>
    <row r="9" customFormat="false" ht="99.75" hidden="false" customHeight="true" outlineLevel="0" collapsed="false">
      <c r="A9" s="15" t="str">
        <f aca="false">IF(B9="","","UX-"&amp;TEXT(ROW()-4,"000"))</f>
        <v>UX-005</v>
      </c>
      <c r="B9" s="7" t="s">
        <v>185</v>
      </c>
      <c r="C9" s="7" t="s">
        <v>81</v>
      </c>
      <c r="D9" s="7" t="s">
        <v>182</v>
      </c>
      <c r="E9" s="7" t="s">
        <v>175</v>
      </c>
      <c r="F9" s="7" t="s">
        <v>169</v>
      </c>
      <c r="G9" s="7" t="s">
        <v>186</v>
      </c>
      <c r="H9" s="7" t="s">
        <v>187</v>
      </c>
      <c r="I9" s="7"/>
      <c r="J9" s="7" t="s">
        <v>172</v>
      </c>
    </row>
    <row r="10" customFormat="false" ht="99.75" hidden="false" customHeight="true" outlineLevel="0" collapsed="false">
      <c r="A10" s="15" t="str">
        <f aca="false">IF(B10="","","UX-"&amp;TEXT(ROW()-4,"000"))</f>
        <v>UX-006</v>
      </c>
      <c r="B10" s="7" t="s">
        <v>188</v>
      </c>
      <c r="C10" s="7" t="s">
        <v>81</v>
      </c>
      <c r="D10" s="7" t="s">
        <v>182</v>
      </c>
      <c r="E10" s="7" t="s">
        <v>175</v>
      </c>
      <c r="F10" s="7" t="s">
        <v>189</v>
      </c>
      <c r="G10" s="7" t="s">
        <v>190</v>
      </c>
      <c r="H10" s="7" t="s">
        <v>191</v>
      </c>
      <c r="I10" s="7"/>
      <c r="J10" s="7" t="s">
        <v>172</v>
      </c>
    </row>
    <row r="11" customFormat="false" ht="99.75" hidden="false" customHeight="true" outlineLevel="0" collapsed="false">
      <c r="A11" s="15" t="str">
        <f aca="false">IF(B11="","","UX-"&amp;TEXT(ROW()-4,"000"))</f>
        <v>UX-007</v>
      </c>
      <c r="B11" s="7" t="s">
        <v>192</v>
      </c>
      <c r="C11" s="7" t="s">
        <v>81</v>
      </c>
      <c r="D11" s="7" t="s">
        <v>174</v>
      </c>
      <c r="E11" s="7" t="s">
        <v>175</v>
      </c>
      <c r="F11" s="7" t="s">
        <v>189</v>
      </c>
      <c r="G11" s="7" t="s">
        <v>193</v>
      </c>
      <c r="H11" s="7" t="s">
        <v>194</v>
      </c>
      <c r="I11" s="7"/>
      <c r="J11" s="7" t="s">
        <v>172</v>
      </c>
    </row>
    <row r="12" customFormat="false" ht="99.75" hidden="false" customHeight="true" outlineLevel="0" collapsed="false">
      <c r="A12" s="15" t="str">
        <f aca="false">IF(B12="","","UX-"&amp;TEXT(ROW()-4,"000"))</f>
        <v>UX-008</v>
      </c>
      <c r="B12" s="7" t="s">
        <v>195</v>
      </c>
      <c r="C12" s="7" t="s">
        <v>81</v>
      </c>
      <c r="D12" s="7" t="s">
        <v>196</v>
      </c>
      <c r="E12" s="7" t="s">
        <v>168</v>
      </c>
      <c r="F12" s="7" t="s">
        <v>189</v>
      </c>
      <c r="G12" s="7" t="s">
        <v>197</v>
      </c>
      <c r="H12" s="7" t="s">
        <v>198</v>
      </c>
      <c r="I12" s="7"/>
      <c r="J12" s="7" t="s">
        <v>172</v>
      </c>
    </row>
    <row r="13" customFormat="false" ht="30" hidden="false" customHeight="true" outlineLevel="0" collapsed="false">
      <c r="A13" s="15" t="str">
        <f aca="false">IF(B13="","","UX-"&amp;TEXT(ROW()-4,"000"))</f>
        <v/>
      </c>
      <c r="B13" s="7"/>
      <c r="C13" s="7"/>
      <c r="D13" s="16"/>
      <c r="E13" s="7"/>
      <c r="F13" s="16"/>
      <c r="G13" s="7"/>
      <c r="H13" s="7"/>
      <c r="I13" s="7"/>
      <c r="J13" s="16"/>
    </row>
    <row r="14" customFormat="false" ht="30" hidden="false" customHeight="true" outlineLevel="0" collapsed="false">
      <c r="A14" s="15" t="str">
        <f aca="false">IF(B14="","","UX-"&amp;TEXT(ROW()-4,"000"))</f>
        <v/>
      </c>
      <c r="B14" s="7"/>
      <c r="C14" s="7"/>
      <c r="D14" s="16"/>
      <c r="E14" s="7"/>
      <c r="F14" s="16"/>
      <c r="G14" s="7"/>
      <c r="H14" s="7"/>
      <c r="I14" s="7"/>
      <c r="J14" s="16"/>
    </row>
    <row r="15" customFormat="false" ht="30" hidden="false" customHeight="true" outlineLevel="0" collapsed="false">
      <c r="A15" s="15" t="str">
        <f aca="false">IF(B15="","","UX-"&amp;TEXT(ROW()-4,"000"))</f>
        <v/>
      </c>
      <c r="B15" s="7"/>
      <c r="C15" s="7"/>
      <c r="D15" s="16"/>
      <c r="E15" s="7"/>
      <c r="F15" s="16"/>
      <c r="G15" s="7"/>
      <c r="H15" s="7"/>
      <c r="I15" s="7"/>
      <c r="J15" s="16"/>
    </row>
    <row r="16" customFormat="false" ht="30" hidden="false" customHeight="true" outlineLevel="0" collapsed="false">
      <c r="A16" s="15" t="str">
        <f aca="false">IF(B16="","","UX-"&amp;TEXT(ROW()-4,"000"))</f>
        <v/>
      </c>
      <c r="B16" s="7"/>
      <c r="C16" s="7"/>
      <c r="D16" s="16"/>
      <c r="E16" s="7"/>
      <c r="F16" s="16"/>
      <c r="G16" s="7"/>
      <c r="H16" s="7"/>
      <c r="I16" s="7"/>
      <c r="J16" s="16"/>
    </row>
    <row r="17" customFormat="false" ht="30" hidden="false" customHeight="true" outlineLevel="0" collapsed="false">
      <c r="A17" s="15" t="str">
        <f aca="false">IF(B17="","","UX-"&amp;TEXT(ROW()-4,"000"))</f>
        <v/>
      </c>
      <c r="B17" s="7"/>
      <c r="C17" s="7"/>
      <c r="D17" s="16"/>
      <c r="E17" s="7"/>
      <c r="F17" s="16"/>
      <c r="G17" s="7"/>
      <c r="H17" s="7"/>
      <c r="I17" s="7"/>
      <c r="J17" s="16"/>
    </row>
    <row r="18" customFormat="false" ht="30" hidden="false" customHeight="true" outlineLevel="0" collapsed="false">
      <c r="A18" s="15" t="str">
        <f aca="false">IF(B18="","","UX-"&amp;TEXT(ROW()-4,"000"))</f>
        <v/>
      </c>
      <c r="B18" s="7"/>
      <c r="C18" s="7"/>
      <c r="D18" s="16"/>
      <c r="E18" s="7"/>
      <c r="F18" s="16"/>
      <c r="G18" s="7"/>
      <c r="H18" s="7"/>
      <c r="I18" s="7"/>
      <c r="J18" s="16"/>
    </row>
    <row r="19" customFormat="false" ht="30" hidden="false" customHeight="true" outlineLevel="0" collapsed="false">
      <c r="A19" s="15" t="str">
        <f aca="false">IF(B19="","","UX-"&amp;TEXT(ROW()-4,"000"))</f>
        <v/>
      </c>
      <c r="B19" s="7"/>
      <c r="C19" s="7"/>
      <c r="D19" s="16"/>
      <c r="E19" s="7"/>
      <c r="F19" s="16"/>
      <c r="G19" s="7"/>
      <c r="H19" s="7"/>
      <c r="I19" s="7"/>
      <c r="J19" s="16"/>
    </row>
    <row r="20" customFormat="false" ht="30" hidden="false" customHeight="true" outlineLevel="0" collapsed="false">
      <c r="A20" s="15" t="str">
        <f aca="false">IF(B20="","","UX-"&amp;TEXT(ROW()-4,"000"))</f>
        <v/>
      </c>
      <c r="B20" s="7"/>
      <c r="C20" s="7"/>
      <c r="D20" s="16"/>
      <c r="E20" s="7"/>
      <c r="F20" s="16"/>
      <c r="G20" s="7"/>
      <c r="H20" s="7"/>
      <c r="I20" s="7"/>
      <c r="J20" s="16"/>
    </row>
    <row r="21" customFormat="false" ht="30" hidden="false" customHeight="true" outlineLevel="0" collapsed="false">
      <c r="A21" s="15" t="str">
        <f aca="false">IF(B21="","","UX-"&amp;TEXT(ROW()-4,"000"))</f>
        <v/>
      </c>
      <c r="B21" s="7"/>
      <c r="C21" s="7"/>
      <c r="D21" s="16"/>
      <c r="E21" s="7"/>
      <c r="F21" s="16"/>
      <c r="G21" s="7"/>
      <c r="H21" s="7"/>
      <c r="I21" s="7"/>
      <c r="J21" s="16"/>
    </row>
    <row r="22" customFormat="false" ht="30" hidden="false" customHeight="true" outlineLevel="0" collapsed="false">
      <c r="A22" s="15" t="str">
        <f aca="false">IF(B22="","","UX-"&amp;TEXT(ROW()-4,"000"))</f>
        <v/>
      </c>
      <c r="B22" s="7"/>
      <c r="C22" s="7"/>
      <c r="D22" s="16"/>
      <c r="E22" s="7"/>
      <c r="F22" s="16"/>
      <c r="G22" s="7"/>
      <c r="H22" s="7"/>
      <c r="I22" s="7"/>
      <c r="J22" s="16"/>
    </row>
    <row r="23" customFormat="false" ht="30" hidden="false" customHeight="true" outlineLevel="0" collapsed="false">
      <c r="A23" s="15" t="str">
        <f aca="false">IF(B23="","","UX-"&amp;TEXT(ROW()-4,"000"))</f>
        <v/>
      </c>
      <c r="B23" s="7"/>
      <c r="C23" s="7"/>
      <c r="D23" s="16"/>
      <c r="E23" s="7"/>
      <c r="F23" s="16"/>
      <c r="G23" s="7"/>
      <c r="H23" s="7"/>
      <c r="I23" s="7"/>
      <c r="J23" s="16"/>
    </row>
    <row r="24" customFormat="false" ht="30" hidden="false" customHeight="true" outlineLevel="0" collapsed="false">
      <c r="A24" s="15" t="str">
        <f aca="false">IF(B24="","","UX-"&amp;TEXT(ROW()-4,"000"))</f>
        <v/>
      </c>
      <c r="B24" s="7"/>
      <c r="C24" s="7"/>
      <c r="D24" s="16"/>
      <c r="E24" s="7"/>
      <c r="F24" s="16"/>
      <c r="G24" s="7"/>
      <c r="H24" s="7"/>
      <c r="I24" s="7"/>
      <c r="J24" s="16"/>
    </row>
    <row r="25" customFormat="false" ht="30" hidden="false" customHeight="true" outlineLevel="0" collapsed="false">
      <c r="A25" s="15" t="str">
        <f aca="false">IF(B25="","","UX-"&amp;TEXT(ROW()-4,"000"))</f>
        <v/>
      </c>
      <c r="B25" s="7"/>
      <c r="C25" s="7"/>
      <c r="D25" s="16"/>
      <c r="E25" s="7"/>
      <c r="F25" s="16"/>
      <c r="G25" s="7"/>
      <c r="H25" s="7"/>
      <c r="I25" s="7"/>
      <c r="J25" s="16"/>
    </row>
    <row r="26" customFormat="false" ht="30" hidden="false" customHeight="true" outlineLevel="0" collapsed="false">
      <c r="A26" s="15" t="str">
        <f aca="false">IF(B26="","","UX-"&amp;TEXT(ROW()-4,"000"))</f>
        <v/>
      </c>
      <c r="B26" s="7"/>
      <c r="C26" s="7"/>
      <c r="D26" s="16"/>
      <c r="E26" s="7"/>
      <c r="F26" s="16"/>
      <c r="G26" s="7"/>
      <c r="H26" s="7"/>
      <c r="I26" s="7"/>
      <c r="J26" s="16"/>
    </row>
    <row r="27" customFormat="false" ht="30" hidden="false" customHeight="true" outlineLevel="0" collapsed="false">
      <c r="A27" s="15" t="str">
        <f aca="false">IF(B27="","","UX-"&amp;TEXT(ROW()-4,"000"))</f>
        <v/>
      </c>
      <c r="B27" s="7"/>
      <c r="C27" s="7"/>
      <c r="D27" s="16"/>
      <c r="E27" s="7"/>
      <c r="F27" s="16"/>
      <c r="G27" s="7"/>
      <c r="H27" s="7"/>
      <c r="I27" s="7"/>
      <c r="J27" s="16"/>
    </row>
    <row r="28" customFormat="false" ht="30" hidden="false" customHeight="true" outlineLevel="0" collapsed="false">
      <c r="A28" s="15" t="str">
        <f aca="false">IF(B28="","","UX-"&amp;TEXT(ROW()-4,"000"))</f>
        <v/>
      </c>
      <c r="B28" s="7"/>
      <c r="C28" s="7"/>
      <c r="D28" s="16"/>
      <c r="E28" s="7"/>
      <c r="F28" s="16"/>
      <c r="G28" s="7"/>
      <c r="H28" s="7"/>
      <c r="I28" s="7"/>
      <c r="J28" s="16"/>
    </row>
    <row r="29" customFormat="false" ht="30" hidden="false" customHeight="true" outlineLevel="0" collapsed="false">
      <c r="A29" s="15" t="str">
        <f aca="false">IF(B29="","","UX-"&amp;TEXT(ROW()-4,"000"))</f>
        <v/>
      </c>
      <c r="B29" s="7"/>
      <c r="C29" s="7"/>
      <c r="D29" s="16"/>
      <c r="E29" s="7"/>
      <c r="F29" s="16"/>
      <c r="G29" s="7"/>
      <c r="H29" s="7"/>
      <c r="I29" s="7"/>
      <c r="J29" s="16"/>
    </row>
    <row r="30" customFormat="false" ht="30" hidden="false" customHeight="true" outlineLevel="0" collapsed="false">
      <c r="A30" s="15" t="str">
        <f aca="false">IF(B30="","","UX-"&amp;TEXT(ROW()-4,"000"))</f>
        <v/>
      </c>
      <c r="B30" s="7"/>
      <c r="C30" s="7"/>
      <c r="D30" s="16"/>
      <c r="E30" s="7"/>
      <c r="F30" s="16"/>
      <c r="G30" s="7"/>
      <c r="H30" s="7"/>
      <c r="I30" s="7"/>
      <c r="J30" s="16"/>
    </row>
    <row r="31" customFormat="false" ht="30" hidden="false" customHeight="true" outlineLevel="0" collapsed="false">
      <c r="A31" s="15" t="str">
        <f aca="false">IF(B31="","","UX-"&amp;TEXT(ROW()-4,"000"))</f>
        <v/>
      </c>
      <c r="B31" s="7"/>
      <c r="C31" s="7"/>
      <c r="D31" s="16"/>
      <c r="E31" s="7"/>
      <c r="F31" s="16"/>
      <c r="G31" s="7"/>
      <c r="H31" s="7"/>
      <c r="I31" s="7"/>
      <c r="J31" s="16"/>
    </row>
    <row r="32" customFormat="false" ht="30" hidden="false" customHeight="true" outlineLevel="0" collapsed="false">
      <c r="A32" s="15" t="str">
        <f aca="false">IF(B32="","","UX-"&amp;TEXT(ROW()-4,"000"))</f>
        <v/>
      </c>
      <c r="B32" s="7"/>
      <c r="C32" s="7"/>
      <c r="D32" s="16"/>
      <c r="E32" s="7"/>
      <c r="F32" s="16"/>
      <c r="G32" s="7"/>
      <c r="H32" s="7"/>
      <c r="I32" s="7"/>
      <c r="J32" s="16"/>
    </row>
    <row r="33" customFormat="false" ht="30" hidden="false" customHeight="true" outlineLevel="0" collapsed="false">
      <c r="A33" s="15" t="str">
        <f aca="false">IF(B33="","","UX-"&amp;TEXT(ROW()-4,"000"))</f>
        <v/>
      </c>
      <c r="B33" s="7"/>
      <c r="C33" s="7"/>
      <c r="D33" s="16"/>
      <c r="E33" s="7"/>
      <c r="F33" s="16"/>
      <c r="G33" s="7"/>
      <c r="H33" s="7"/>
      <c r="I33" s="7"/>
      <c r="J33" s="16"/>
    </row>
    <row r="34" customFormat="false" ht="30" hidden="false" customHeight="true" outlineLevel="0" collapsed="false">
      <c r="A34" s="15" t="str">
        <f aca="false">IF(B34="","","UX-"&amp;TEXT(ROW()-4,"000"))</f>
        <v/>
      </c>
      <c r="B34" s="7"/>
      <c r="C34" s="7"/>
      <c r="D34" s="16"/>
      <c r="E34" s="7"/>
      <c r="F34" s="16"/>
      <c r="G34" s="7"/>
      <c r="H34" s="7"/>
      <c r="I34" s="7"/>
      <c r="J34" s="16"/>
    </row>
    <row r="35" customFormat="false" ht="30" hidden="false" customHeight="true" outlineLevel="0" collapsed="false">
      <c r="A35" s="15" t="str">
        <f aca="false">IF(B35="","","UX-"&amp;TEXT(ROW()-4,"000"))</f>
        <v/>
      </c>
      <c r="B35" s="7"/>
      <c r="C35" s="7"/>
      <c r="D35" s="16"/>
      <c r="E35" s="7"/>
      <c r="F35" s="16"/>
      <c r="G35" s="7"/>
      <c r="H35" s="7"/>
      <c r="I35" s="7"/>
      <c r="J35" s="16"/>
    </row>
    <row r="36" customFormat="false" ht="30" hidden="false" customHeight="true" outlineLevel="0" collapsed="false">
      <c r="A36" s="15" t="str">
        <f aca="false">IF(B36="","","UX-"&amp;TEXT(ROW()-4,"000"))</f>
        <v/>
      </c>
      <c r="B36" s="7"/>
      <c r="C36" s="7"/>
      <c r="D36" s="16"/>
      <c r="E36" s="7"/>
      <c r="F36" s="16"/>
      <c r="G36" s="7"/>
      <c r="H36" s="7"/>
      <c r="I36" s="7"/>
      <c r="J36" s="16"/>
    </row>
    <row r="37" customFormat="false" ht="30" hidden="false" customHeight="true" outlineLevel="0" collapsed="false">
      <c r="A37" s="15" t="str">
        <f aca="false">IF(B37="","","UX-"&amp;TEXT(ROW()-4,"000"))</f>
        <v/>
      </c>
      <c r="B37" s="7"/>
      <c r="C37" s="7"/>
      <c r="D37" s="16"/>
      <c r="E37" s="7"/>
      <c r="F37" s="16"/>
      <c r="G37" s="7"/>
      <c r="H37" s="7"/>
      <c r="I37" s="7"/>
      <c r="J37" s="16"/>
    </row>
    <row r="38" customFormat="false" ht="30" hidden="false" customHeight="true" outlineLevel="0" collapsed="false">
      <c r="A38" s="15" t="str">
        <f aca="false">IF(B38="","","UX-"&amp;TEXT(ROW()-4,"000"))</f>
        <v/>
      </c>
      <c r="B38" s="7"/>
      <c r="C38" s="7"/>
      <c r="D38" s="16"/>
      <c r="E38" s="7"/>
      <c r="F38" s="16"/>
      <c r="G38" s="7"/>
      <c r="H38" s="7"/>
      <c r="I38" s="7"/>
      <c r="J38" s="16"/>
    </row>
    <row r="39" customFormat="false" ht="30" hidden="false" customHeight="true" outlineLevel="0" collapsed="false">
      <c r="A39" s="15" t="str">
        <f aca="false">IF(B39="","","UX-"&amp;TEXT(ROW()-4,"000"))</f>
        <v/>
      </c>
      <c r="B39" s="7"/>
      <c r="C39" s="7"/>
      <c r="D39" s="16"/>
      <c r="E39" s="7"/>
      <c r="F39" s="16"/>
      <c r="G39" s="7"/>
      <c r="H39" s="7"/>
      <c r="I39" s="7"/>
      <c r="J39" s="16"/>
    </row>
  </sheetData>
  <autoFilter ref="A4:J39"/>
  <dataValidations count="4">
    <dataValidation allowBlank="true" errorStyle="stop" operator="between" showDropDown="false" showErrorMessage="false" showInputMessage="false" sqref="F5:F39" type="list">
      <formula1>"0 - Không phải vấn đề,1 - Chỉ là mỹ quan,2 - Nhỏ,3 - Lớn,4 - Thảm hoạ"</formula1>
      <formula2>0</formula2>
    </dataValidation>
    <dataValidation allowBlank="true" errorStyle="stop" operator="between" showDropDown="false" showErrorMessage="false" showInputMessage="false" sqref="E5:E39" type="list">
      <formula1>"Vấn đề thiết kế hệ thống,Lỗi cá biệt"</formula1>
      <formula2>0</formula2>
    </dataValidation>
    <dataValidation allowBlank="true" errorStyle="stop" operator="between" showDropDown="false" showErrorMessage="false" showInputMessage="false" sqref="C5:C39" type="list">
      <formula1>"A1 - Danh sách Events,A2 - Form Add/Edit Event,A4 - Participants &amp; Reviews,Nhiều màn hình"</formula1>
      <formula2>0</formula2>
    </dataValidation>
    <dataValidation allowBlank="true" errorStyle="stop" operator="between" showDropDown="false" showErrorMessage="false" showInputMessage="false" sqref="J5:J39" type="list">
      <formula1>"Rồi,Chưa"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2026-07-29T09:43:17Z</dcterms:created>
  <dc:creator>openpyxl</dc:creator>
  <dc:description/>
  <dc:language>en-US</dc:language>
  <cp:lastModifiedBy>ADMIN</cp:lastModifiedBy>
  <dcterms:modified xsi:type="dcterms:W3CDTF">2026-08-03T13:24:33Z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